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D:\Data Science\Project\Sales Dataset\"/>
    </mc:Choice>
  </mc:AlternateContent>
  <xr:revisionPtr revIDLastSave="0" documentId="13_ncr:1_{41B8A5F8-3131-4E8C-96DA-C1AF74BCAD2E}" xr6:coauthVersionLast="47" xr6:coauthVersionMax="47" xr10:uidLastSave="{00000000-0000-0000-0000-000000000000}"/>
  <bookViews>
    <workbookView xWindow="-108" yWindow="-108" windowWidth="23256" windowHeight="12456" xr2:uid="{5ED24993-6AC3-451F-A2D7-E2FE3E2EBB5C}"/>
  </bookViews>
  <sheets>
    <sheet name="Activity_Tracker" sheetId="1" r:id="rId1"/>
    <sheet name="Status" sheetId="20" r:id="rId2"/>
    <sheet name="Date Vs Status" sheetId="10" r:id="rId3"/>
    <sheet name="Industry Vs Status" sheetId="14" r:id="rId4"/>
    <sheet name="Source Vs Status" sheetId="12" r:id="rId5"/>
    <sheet name="Country Vs Status" sheetId="16" r:id="rId6"/>
    <sheet name="Convosentiment vs Stus vs cntry" sheetId="17" r:id="rId7"/>
    <sheet name="Status &amp; company_name" sheetId="11" r:id="rId8"/>
    <sheet name="Dashboard" sheetId="9" r:id="rId9"/>
  </sheets>
  <functionGroups builtInGroupCount="19"/>
  <definedNames>
    <definedName name="Myrange">OFFSET(Activity_Tracker!$A$1,0,0,COUNTA(Activity_Tracker!$A:$A),COUNTA(Activity_Tracker!$1:$1))</definedName>
    <definedName name="Slicer_Country">#N/A</definedName>
    <definedName name="Slicer_Created_month1">#N/A</definedName>
    <definedName name="Slicer_Created_year1">#N/A</definedName>
    <definedName name="Slicer_Industry1">#N/A</definedName>
    <definedName name="Slicer_Source">#N/A</definedName>
    <definedName name="Slicer_Status1">#N/A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2" i="1" l="1"/>
  <c r="X322" i="1"/>
  <c r="X323" i="1"/>
  <c r="X324" i="1"/>
  <c r="X325" i="1"/>
  <c r="X326" i="1"/>
  <c r="X327" i="1"/>
  <c r="X328" i="1"/>
  <c r="X329" i="1"/>
  <c r="X330" i="1"/>
  <c r="X331" i="1"/>
  <c r="X332" i="1"/>
  <c r="X333" i="1"/>
  <c r="X334" i="1"/>
  <c r="X335" i="1"/>
  <c r="X336" i="1"/>
  <c r="X337" i="1"/>
  <c r="X338" i="1"/>
  <c r="V322" i="1"/>
  <c r="V323" i="1"/>
  <c r="V324" i="1"/>
  <c r="V325" i="1"/>
  <c r="V326" i="1"/>
  <c r="V327" i="1"/>
  <c r="V328" i="1"/>
  <c r="V329" i="1"/>
  <c r="V330" i="1"/>
  <c r="V331" i="1"/>
  <c r="V332" i="1"/>
  <c r="V333" i="1"/>
  <c r="V334" i="1"/>
  <c r="V335" i="1"/>
  <c r="V336" i="1"/>
  <c r="V337" i="1"/>
  <c r="V338" i="1"/>
  <c r="F322" i="1"/>
  <c r="F323" i="1"/>
  <c r="F324" i="1"/>
  <c r="F325" i="1"/>
  <c r="F326" i="1"/>
  <c r="F327" i="1"/>
  <c r="F328" i="1"/>
  <c r="F329" i="1"/>
  <c r="F330" i="1"/>
  <c r="F331" i="1"/>
  <c r="F332" i="1"/>
  <c r="F333" i="1"/>
  <c r="F334" i="1"/>
  <c r="F335" i="1"/>
  <c r="F336" i="1"/>
  <c r="F337" i="1"/>
  <c r="F338" i="1"/>
  <c r="D322" i="1"/>
  <c r="D323" i="1"/>
  <c r="D324" i="1"/>
  <c r="D325" i="1"/>
  <c r="D326" i="1"/>
  <c r="D327" i="1"/>
  <c r="D328" i="1"/>
  <c r="D329" i="1"/>
  <c r="D330" i="1"/>
  <c r="D331" i="1"/>
  <c r="D332" i="1"/>
  <c r="D333" i="1"/>
  <c r="D334" i="1"/>
  <c r="D335" i="1"/>
  <c r="D336" i="1"/>
  <c r="D337" i="1"/>
  <c r="D338" i="1"/>
  <c r="C322" i="1"/>
  <c r="C323" i="1"/>
  <c r="C324" i="1"/>
  <c r="C325" i="1"/>
  <c r="C326" i="1"/>
  <c r="C327" i="1"/>
  <c r="C328" i="1"/>
  <c r="C329" i="1"/>
  <c r="C330" i="1"/>
  <c r="C331" i="1"/>
  <c r="C332" i="1"/>
  <c r="C333" i="1"/>
  <c r="C334" i="1"/>
  <c r="C335" i="1"/>
  <c r="C336" i="1"/>
  <c r="C337" i="1"/>
  <c r="C338" i="1"/>
  <c r="T321" i="1"/>
  <c r="T322" i="1"/>
  <c r="T330" i="1"/>
  <c r="T338" i="1"/>
  <c r="T331" i="1"/>
  <c r="T323" i="1"/>
  <c r="T324" i="1"/>
  <c r="T332" i="1"/>
  <c r="T325" i="1"/>
  <c r="T333" i="1"/>
  <c r="T334" i="1"/>
  <c r="T326" i="1"/>
  <c r="T327" i="1"/>
  <c r="T335" i="1"/>
  <c r="T328" i="1"/>
  <c r="T336" i="1"/>
  <c r="T329" i="1"/>
  <c r="T337" i="1"/>
  <c r="C2" i="1" l="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 i="1"/>
  <c r="F4" i="1"/>
  <c r="F5" i="1"/>
  <c r="F6" i="1"/>
  <c r="F7" i="1"/>
  <c r="F8" i="1"/>
  <c r="F9" i="1"/>
  <c r="F10" i="1"/>
  <c r="F11" i="1"/>
  <c r="F2"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 i="1"/>
  <c r="D4" i="1"/>
  <c r="D5" i="1"/>
  <c r="D6" i="1"/>
  <c r="D7" i="1"/>
  <c r="D8" i="1"/>
  <c r="D9" i="1"/>
  <c r="D10" i="1"/>
  <c r="D11" i="1"/>
  <c r="D12" i="1"/>
  <c r="D13" i="1"/>
  <c r="D14" i="1"/>
  <c r="D15" i="1"/>
  <c r="D16" i="1"/>
  <c r="D17" i="1"/>
  <c r="D2" i="1"/>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2"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263" i="1"/>
  <c r="V264" i="1"/>
  <c r="V265" i="1"/>
  <c r="V266" i="1"/>
  <c r="V267" i="1"/>
  <c r="V268" i="1"/>
  <c r="V269" i="1"/>
  <c r="V270" i="1"/>
  <c r="V271" i="1"/>
  <c r="V272" i="1"/>
  <c r="V273" i="1"/>
  <c r="V274" i="1"/>
  <c r="V275" i="1"/>
  <c r="V276" i="1"/>
  <c r="V277" i="1"/>
  <c r="V278" i="1"/>
  <c r="V279" i="1"/>
  <c r="V280"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3" i="1"/>
  <c r="V4" i="1"/>
  <c r="V5" i="1"/>
  <c r="V6" i="1"/>
  <c r="V7" i="1"/>
  <c r="V8" i="1"/>
  <c r="V9" i="1"/>
  <c r="V10" i="1"/>
  <c r="V11" i="1"/>
  <c r="V12" i="1"/>
  <c r="V13" i="1"/>
  <c r="V14" i="1"/>
  <c r="V15" i="1"/>
  <c r="V16" i="1"/>
  <c r="T51" i="1"/>
  <c r="T59" i="1"/>
  <c r="T244" i="1"/>
  <c r="T102" i="1"/>
  <c r="T199" i="1"/>
  <c r="T296" i="1"/>
  <c r="T139" i="1"/>
  <c r="T23" i="1"/>
  <c r="T259" i="1"/>
  <c r="T117" i="1"/>
  <c r="T302" i="1"/>
  <c r="T273" i="1"/>
  <c r="T82" i="1"/>
  <c r="T196" i="1"/>
  <c r="T248" i="1"/>
  <c r="T12" i="1"/>
  <c r="T197" i="1"/>
  <c r="T201" i="1"/>
  <c r="T128" i="1"/>
  <c r="T123" i="1"/>
  <c r="T308" i="1"/>
  <c r="T166" i="1"/>
  <c r="T263" i="1"/>
  <c r="T129" i="1"/>
  <c r="T4" i="1"/>
  <c r="T215" i="1"/>
  <c r="T185" i="1"/>
  <c r="T181" i="1"/>
  <c r="T137" i="1"/>
  <c r="T48" i="1"/>
  <c r="T146" i="1"/>
  <c r="T241" i="1"/>
  <c r="T218" i="1"/>
  <c r="T76" i="1"/>
  <c r="T261" i="1"/>
  <c r="T31" i="1"/>
  <c r="T192" i="1"/>
  <c r="T290" i="1"/>
  <c r="T66" i="1"/>
  <c r="T219" i="1"/>
  <c r="T77" i="1"/>
  <c r="T262" i="1"/>
  <c r="T145" i="1"/>
  <c r="T42" i="1"/>
  <c r="T73" i="1"/>
  <c r="T282" i="1"/>
  <c r="T156" i="1"/>
  <c r="T14" i="1"/>
  <c r="T111" i="1"/>
  <c r="T208" i="1"/>
  <c r="T306" i="1"/>
  <c r="T130" i="1"/>
  <c r="T299" i="1"/>
  <c r="T157" i="1"/>
  <c r="T49" i="1"/>
  <c r="T24" i="1"/>
  <c r="T122" i="1"/>
  <c r="T236" i="1"/>
  <c r="T313" i="1"/>
  <c r="T45" i="1"/>
  <c r="T230" i="1"/>
  <c r="T17" i="1"/>
  <c r="T10" i="1"/>
  <c r="T132" i="1"/>
  <c r="T184" i="1"/>
  <c r="T60" i="1"/>
  <c r="T245" i="1"/>
  <c r="T15" i="1"/>
  <c r="T112" i="1"/>
  <c r="T210" i="1"/>
  <c r="T125" i="1"/>
  <c r="T11" i="1"/>
  <c r="T140" i="1"/>
  <c r="T113" i="1"/>
  <c r="T95" i="1"/>
  <c r="T256" i="1"/>
  <c r="T307" i="1"/>
  <c r="T121" i="1"/>
  <c r="T283" i="1"/>
  <c r="T141" i="1"/>
  <c r="T25" i="1"/>
  <c r="T8" i="1"/>
  <c r="T106" i="1"/>
  <c r="T191" i="1"/>
  <c r="T35" i="1"/>
  <c r="T220" i="1"/>
  <c r="T78" i="1"/>
  <c r="T175" i="1"/>
  <c r="T272" i="1"/>
  <c r="T115" i="1"/>
  <c r="T161" i="1"/>
  <c r="T36" i="1"/>
  <c r="T221" i="1"/>
  <c r="T281" i="1"/>
  <c r="T88" i="1"/>
  <c r="T186" i="1"/>
  <c r="T300" i="1"/>
  <c r="T258" i="1"/>
  <c r="T109" i="1"/>
  <c r="T294" i="1"/>
  <c r="T249" i="1"/>
  <c r="T74" i="1"/>
  <c r="T260" i="1"/>
  <c r="T154" i="1"/>
  <c r="T124" i="1"/>
  <c r="T309" i="1"/>
  <c r="T79" i="1"/>
  <c r="T176" i="1"/>
  <c r="T274" i="1"/>
  <c r="T253" i="1"/>
  <c r="T19" i="1"/>
  <c r="T204" i="1"/>
  <c r="T62" i="1"/>
  <c r="T159" i="1"/>
  <c r="T320" i="1"/>
  <c r="T37" i="1"/>
  <c r="T310" i="1"/>
  <c r="T20" i="1"/>
  <c r="T205" i="1"/>
  <c r="T225" i="1"/>
  <c r="T72" i="1"/>
  <c r="T170" i="1"/>
  <c r="T96" i="1"/>
  <c r="T99" i="1"/>
  <c r="T284" i="1"/>
  <c r="T142" i="1"/>
  <c r="T239" i="1"/>
  <c r="T41" i="1"/>
  <c r="T229" i="1"/>
  <c r="T297" i="1"/>
  <c r="T100" i="1"/>
  <c r="T285" i="1"/>
  <c r="T55" i="1"/>
  <c r="T152" i="1"/>
  <c r="T250" i="1"/>
  <c r="T165" i="1"/>
  <c r="T246" i="1"/>
  <c r="T173" i="1"/>
  <c r="T97" i="1"/>
  <c r="T40" i="1"/>
  <c r="T138" i="1"/>
  <c r="T61" i="1"/>
  <c r="T3" i="1"/>
  <c r="T188" i="1"/>
  <c r="T46" i="1"/>
  <c r="T143" i="1"/>
  <c r="T187" i="1"/>
  <c r="T251" i="1"/>
  <c r="T315" i="1"/>
  <c r="T52" i="1"/>
  <c r="T116" i="1"/>
  <c r="T180" i="1"/>
  <c r="T168" i="1"/>
  <c r="T67" i="1"/>
  <c r="T238" i="1"/>
  <c r="T75" i="1"/>
  <c r="T83" i="1"/>
  <c r="T126" i="1"/>
  <c r="T209" i="1"/>
  <c r="T319" i="1"/>
  <c r="T148" i="1"/>
  <c r="T198" i="1"/>
  <c r="T264" i="1"/>
  <c r="T89" i="1"/>
  <c r="T28" i="1"/>
  <c r="T270" i="1"/>
  <c r="T144" i="1"/>
  <c r="T255" i="1"/>
  <c r="T164" i="1"/>
  <c r="T214" i="1"/>
  <c r="T280" i="1"/>
  <c r="T172" i="1"/>
  <c r="T32" i="1"/>
  <c r="T228" i="1"/>
  <c r="T65" i="1"/>
  <c r="T217" i="1"/>
  <c r="T104" i="1"/>
  <c r="T291" i="1"/>
  <c r="T26" i="1"/>
  <c r="T237" i="1"/>
  <c r="T232" i="1"/>
  <c r="T131" i="1"/>
  <c r="T207" i="1"/>
  <c r="T203" i="1"/>
  <c r="T147" i="1"/>
  <c r="T190" i="1"/>
  <c r="T34" i="1"/>
  <c r="T224" i="1"/>
  <c r="T212" i="1"/>
  <c r="T39" i="1"/>
  <c r="T9" i="1"/>
  <c r="T194" i="1"/>
  <c r="T92" i="1"/>
  <c r="T33" i="1"/>
  <c r="T265" i="1"/>
  <c r="T278" i="1"/>
  <c r="T30" i="1"/>
  <c r="T174" i="1"/>
  <c r="T206" i="1"/>
  <c r="T301" i="1"/>
  <c r="T202" i="1"/>
  <c r="T195" i="1"/>
  <c r="T271" i="1"/>
  <c r="T267" i="1"/>
  <c r="T211" i="1"/>
  <c r="T254" i="1"/>
  <c r="T98" i="1"/>
  <c r="T120" i="1"/>
  <c r="T276" i="1"/>
  <c r="T103" i="1"/>
  <c r="T233" i="1"/>
  <c r="T87" i="1"/>
  <c r="T21" i="1"/>
  <c r="T257" i="1"/>
  <c r="T50" i="1"/>
  <c r="T288" i="1"/>
  <c r="T292" i="1"/>
  <c r="T119" i="1"/>
  <c r="T289" i="1"/>
  <c r="T286" i="1"/>
  <c r="T234" i="1"/>
  <c r="T47" i="1"/>
  <c r="T177" i="1"/>
  <c r="T183" i="1"/>
  <c r="T127" i="1"/>
  <c r="T44" i="1"/>
  <c r="T64" i="1"/>
  <c r="T84" i="1"/>
  <c r="T80" i="1"/>
  <c r="T108" i="1"/>
  <c r="T38" i="1"/>
  <c r="T266" i="1"/>
  <c r="T252" i="1"/>
  <c r="T57" i="1"/>
  <c r="T68" i="1"/>
  <c r="T275" i="1"/>
  <c r="T318" i="1"/>
  <c r="T162" i="1"/>
  <c r="T90" i="1"/>
  <c r="T13" i="1"/>
  <c r="T167" i="1"/>
  <c r="T81" i="1"/>
  <c r="T85" i="1"/>
  <c r="T114" i="1"/>
  <c r="T29" i="1"/>
  <c r="T58" i="1"/>
  <c r="T118" i="1"/>
  <c r="T305" i="1"/>
  <c r="T7" i="1"/>
  <c r="T2" i="1"/>
  <c r="T316" i="1"/>
  <c r="T240" i="1"/>
  <c r="T54" i="1"/>
  <c r="T268" i="1"/>
  <c r="T223" i="1"/>
  <c r="T226" i="1"/>
  <c r="T27" i="1"/>
  <c r="T269" i="1"/>
  <c r="T231" i="1"/>
  <c r="T298" i="1"/>
  <c r="T312" i="1"/>
  <c r="T149" i="1"/>
  <c r="T303" i="1"/>
  <c r="T178" i="1"/>
  <c r="T43" i="1"/>
  <c r="T93" i="1"/>
  <c r="T247" i="1"/>
  <c r="T314" i="1"/>
  <c r="T193" i="1"/>
  <c r="T18" i="1"/>
  <c r="T200" i="1"/>
  <c r="T216" i="1"/>
  <c r="T71" i="1"/>
  <c r="T189" i="1"/>
  <c r="T53" i="1"/>
  <c r="T304" i="1"/>
  <c r="T182" i="1"/>
  <c r="T5" i="1"/>
  <c r="T287" i="1"/>
  <c r="T293" i="1"/>
  <c r="T91" i="1"/>
  <c r="T6" i="1"/>
  <c r="T295" i="1"/>
  <c r="T179" i="1"/>
  <c r="T163" i="1"/>
  <c r="T213" i="1"/>
  <c r="T169" i="1"/>
  <c r="T242" i="1"/>
  <c r="T107" i="1"/>
  <c r="T22" i="1"/>
  <c r="T311" i="1"/>
  <c r="T243" i="1"/>
  <c r="T160" i="1"/>
  <c r="T56" i="1"/>
  <c r="T279" i="1"/>
  <c r="T134" i="1"/>
  <c r="T235" i="1"/>
  <c r="T135" i="1"/>
  <c r="T317" i="1"/>
  <c r="T110" i="1"/>
  <c r="T153" i="1"/>
  <c r="T151" i="1"/>
  <c r="T69" i="1"/>
  <c r="T105" i="1"/>
  <c r="T222" i="1"/>
  <c r="T155" i="1"/>
  <c r="T70" i="1"/>
  <c r="T136" i="1"/>
  <c r="T101" i="1"/>
  <c r="T227" i="1"/>
  <c r="T277" i="1"/>
  <c r="T16" i="1"/>
  <c r="T158" i="1"/>
  <c r="T171" i="1"/>
  <c r="T86" i="1"/>
  <c r="T133" i="1"/>
  <c r="T63" i="1"/>
  <c r="T94" i="1"/>
  <c r="T150" i="1"/>
</calcChain>
</file>

<file path=xl/sharedStrings.xml><?xml version="1.0" encoding="utf-8"?>
<sst xmlns="http://schemas.openxmlformats.org/spreadsheetml/2006/main" count="3696" uniqueCount="2625">
  <si>
    <t>Sl.No</t>
  </si>
  <si>
    <t>Created</t>
  </si>
  <si>
    <t>Last Modified</t>
  </si>
  <si>
    <t>Country</t>
  </si>
  <si>
    <t>Company/Account</t>
  </si>
  <si>
    <t>Industry</t>
  </si>
  <si>
    <t>URL</t>
  </si>
  <si>
    <t>Saluation</t>
  </si>
  <si>
    <t>CEO/Founder/Owner</t>
  </si>
  <si>
    <t>Contact no</t>
  </si>
  <si>
    <t>Email Id</t>
  </si>
  <si>
    <t>Secondary Contact</t>
  </si>
  <si>
    <t>Description</t>
  </si>
  <si>
    <t>Call/Email Progress</t>
  </si>
  <si>
    <t>Status</t>
  </si>
  <si>
    <t>Source</t>
  </si>
  <si>
    <t>Linkedin Page</t>
  </si>
  <si>
    <t>Malaysia</t>
  </si>
  <si>
    <t>The New Malaya</t>
  </si>
  <si>
    <t>Online Media</t>
  </si>
  <si>
    <t>Mr</t>
  </si>
  <si>
    <t>Harivendran Nathan</t>
  </si>
  <si>
    <t>Messaged via e27.</t>
  </si>
  <si>
    <t>https://e27.co/startup/the-new-malaya</t>
  </si>
  <si>
    <t>https://www.linkedin.com/company/thenewmalaya/</t>
  </si>
  <si>
    <t>25/4/2018</t>
  </si>
  <si>
    <t>USA</t>
  </si>
  <si>
    <t>Boxclue</t>
  </si>
  <si>
    <t>Blog</t>
  </si>
  <si>
    <t>https://boxclue.co</t>
  </si>
  <si>
    <t>Yanju Taiwo</t>
  </si>
  <si>
    <t>https://e27.co/startup/boxclue</t>
  </si>
  <si>
    <t>Singapore</t>
  </si>
  <si>
    <t>First Page Pte. Ltd</t>
  </si>
  <si>
    <t>Digital Agency</t>
  </si>
  <si>
    <t>https://www.firstpage.asia/</t>
  </si>
  <si>
    <t>Juvon Ang(operations)</t>
  </si>
  <si>
    <t>Off - +65 6315 1420</t>
  </si>
  <si>
    <t>Juvon@firstpage.asia</t>
  </si>
  <si>
    <t>info@firstpage.asia</t>
  </si>
  <si>
    <t>May 14th - Cold email./May 28th - Called - No answer - 1st Followup email send./May 31st - Called - No answer./June 6th - No answer - 2nd followup email.</t>
  </si>
  <si>
    <t>https://e27.co/startup/first-page-pte-ltd</t>
  </si>
  <si>
    <t>https://www.linkedin.com/company/first-page-pte-ltd/</t>
  </si>
  <si>
    <t>Tide Creatives</t>
  </si>
  <si>
    <t>https://www.tidecreatives.com</t>
  </si>
  <si>
    <t>Mis</t>
  </si>
  <si>
    <t>Catherine Seow</t>
  </si>
  <si>
    <t>Catherine@tidecreatives.com</t>
  </si>
  <si>
    <t>catseow1995@gmail.com</t>
  </si>
  <si>
    <t>May 28th - Cold email./June 6th - 1st followup email.</t>
  </si>
  <si>
    <t>https://e27.co/startup/tide-creatives</t>
  </si>
  <si>
    <t>https://www.linkedin.com/in/catherineseow/</t>
  </si>
  <si>
    <t>New York, USA</t>
  </si>
  <si>
    <t>Deevoted LLC</t>
  </si>
  <si>
    <t>http://deevoted.com/</t>
  </si>
  <si>
    <t>Adam Leder(President + Technical Director)</t>
  </si>
  <si>
    <t>Adam@deevoted.com</t>
  </si>
  <si>
    <t>May 28th - Cold email./June 6th - 1st followup email./June 19th - 2nd followup email.</t>
  </si>
  <si>
    <t>https://joba.co/us/web-developer</t>
  </si>
  <si>
    <t>https://www.linkedin.com/company/deevoted-llc/</t>
  </si>
  <si>
    <t>Netherlands</t>
  </si>
  <si>
    <t>Sevens ICT</t>
  </si>
  <si>
    <t>https://sevensict.nl/</t>
  </si>
  <si>
    <t>Peter Sevens</t>
  </si>
  <si>
    <t>Off - 06-41281128</t>
  </si>
  <si>
    <t>peter@sevensict.nl</t>
  </si>
  <si>
    <t>info@sevensict.nl</t>
  </si>
  <si>
    <t>May 5th - Linkedin message &amp; request sent./May 28th - Cold email./May 30th - Called Peter - not interested.</t>
  </si>
  <si>
    <t>http://linkedin.com/in/psevens</t>
  </si>
  <si>
    <t>Cas Ebbers ICT</t>
  </si>
  <si>
    <t>http://www.cas-ebbers.nl/</t>
  </si>
  <si>
    <t>Cas Ebbers</t>
  </si>
  <si>
    <t>Off - :+31636180545(Call charged heavily)</t>
  </si>
  <si>
    <t>cjaebbers@gmail.com</t>
  </si>
  <si>
    <t>May 5th - Linkedin message &amp; request sent./May 29th - Cold email./May 30th - Called - No answer - 1st followup email send./June 21st - No answer - 2nd followup email.</t>
  </si>
  <si>
    <t>https://www.linkedin.com/in/casebbers?lipi=urn%3Ali%3Apage%3Ad_flagship3_profile_view_base%3BeKZIbFEZTUG%2F49LZ333c4Q%3D%3D</t>
  </si>
  <si>
    <t>Germany</t>
  </si>
  <si>
    <t>DevMob - Web | Mobile | Security</t>
  </si>
  <si>
    <t>https://www.devmob.com</t>
  </si>
  <si>
    <t>Gerard Bolt</t>
  </si>
  <si>
    <t>Off - +49 89 20987561</t>
  </si>
  <si>
    <t>Gerard.Bolt@devmob.com</t>
  </si>
  <si>
    <t>welcome@devmob.com</t>
  </si>
  <si>
    <t>May 29th - Cold email./May 30th - Unable to reach the number./June 21st - Unable to reach the number - 1st followup email.</t>
  </si>
  <si>
    <t>https://www.linkedin.com/company/devmob-bv/</t>
  </si>
  <si>
    <t>Snapscene Pte Ltd</t>
  </si>
  <si>
    <t>Augmented Reality</t>
  </si>
  <si>
    <t>http://snapscene.sg/</t>
  </si>
  <si>
    <t>Ian Yeo</t>
  </si>
  <si>
    <t>Ian@snapscene.sg / ian.yeo@jian.sg</t>
  </si>
  <si>
    <t>May 14th - Cold email./May 29th - 1st Followup email./June 4th - Ian accpeted the linkedin request - msg send./June 6th - New intro email send to ian.yeo@jian.sg/June 19th - followup email send.</t>
  </si>
  <si>
    <t>https://www.linkedin.com/in/ian-yeo-8b989867/</t>
  </si>
  <si>
    <t>14/5/2018</t>
  </si>
  <si>
    <t>Hong Kong</t>
  </si>
  <si>
    <t>Tanzire</t>
  </si>
  <si>
    <t>Luxury Goods &amp; Jewelry</t>
  </si>
  <si>
    <t>http://www.tanzire.co</t>
  </si>
  <si>
    <t>Suhani</t>
  </si>
  <si>
    <t>Off - +852 6335 4843</t>
  </si>
  <si>
    <t>suhani@tanzire.co</t>
  </si>
  <si>
    <t>info@tanzire.co</t>
  </si>
  <si>
    <t>May 14th - Cold email./May 29th - 1st Followup email./May 31st - not connecting./Jun 1st - not connecting - 2nd followup email send./June 6th - not connecting - 3rd followup email.</t>
  </si>
  <si>
    <t>https://www.linkedin.com/company/tanzire/</t>
  </si>
  <si>
    <t>15/5/2018</t>
  </si>
  <si>
    <t>Deemples</t>
  </si>
  <si>
    <t>Sports</t>
  </si>
  <si>
    <t>http://deemples.com/</t>
  </si>
  <si>
    <t>David Wong</t>
  </si>
  <si>
    <t>dw@deemples.com</t>
  </si>
  <si>
    <t>May 14th - Cold email./May 15th - David responded to the linkedin msg - David responded again looking for inhouse hire - His developer accepted the offer.</t>
  </si>
  <si>
    <t>http://startupjobs.asia/job/38216-software-developer-angular-cordova-ionic-it-deemples-golf-malaysia</t>
  </si>
  <si>
    <t>https://www.linkedin.com/company/deemples/</t>
  </si>
  <si>
    <t>Stranger Soccer</t>
  </si>
  <si>
    <t>https://strangersoccer.com/</t>
  </si>
  <si>
    <t>Jian wei Ow yong</t>
  </si>
  <si>
    <t>jianwei@strangersoccer.com</t>
  </si>
  <si>
    <t>May 14th - Cold email./May 29th - 1st Followup email./June 6th - 2nd followup email.</t>
  </si>
  <si>
    <t>https://www.linkedin.com/company/stranger-soccer/</t>
  </si>
  <si>
    <t>Coinected.io</t>
  </si>
  <si>
    <t>Financial Services</t>
  </si>
  <si>
    <t>https://coinected.io/</t>
  </si>
  <si>
    <t>Daniel Dawczynski</t>
  </si>
  <si>
    <t>Daniel.Dawczynski@coinected.io</t>
  </si>
  <si>
    <t>hello@coinected.io</t>
  </si>
  <si>
    <t>May 15th - Cold email./May 29th - 1st followup email send./June 6th - 2nd followup email.</t>
  </si>
  <si>
    <t>https://www.techinasia.com/jobs/18a49849-4852-47c8-b67a-40586f9f53c9</t>
  </si>
  <si>
    <t>https://www.linkedin.com/company/coinected-io/</t>
  </si>
  <si>
    <t>vediohead</t>
  </si>
  <si>
    <t>https://www.vediohead.com/</t>
  </si>
  <si>
    <t>Terence Tee</t>
  </si>
  <si>
    <t xml:space="preserve">M - +65 90486883 </t>
  </si>
  <si>
    <t>t@vediohead.com</t>
  </si>
  <si>
    <t>hello@vediohead.com</t>
  </si>
  <si>
    <t>May 15th - Cold email - Accepted the Linkedin Invite./May 17th - Spoke with Terence - He is looking for inhouse hire - Convinced for POC - price range given $10USD - $15USD - He will discuss with his team and get back to us before Friday or Monday - Acknowledgement email send./May 21st - Terrence responded - Introduced Kenny(Engineering head) - Ready for POC - shared the req for poc./May 30th - Spoke with Kenny - got PoC extension - Kenny enquired about Devops &amp; Blockchain project./May 31st - Kenny shared the credentials./June 3rd - Send video demo to Kenny./June 4th - Kenny liked the demo - Call fixed @ 2PM to present the complete demo./June 21st - Conf call(Kenny, Madhan, Prabha) - Kenny liked the PoC - Enquired abt the services and costings - Expected resource - Mobile App(Android) &amp; Backend./July 10th - Kenny shared the 1st assignment - need to fix 4 issues./July 11th - 220hrs proposed - Kenny asked for the split up.</t>
  </si>
  <si>
    <t>https://www.techinasia.com/jobs/65907690-83b2-49e4-8ae4-2debbf66499a</t>
  </si>
  <si>
    <t>https://www.linkedin.com/company/vediohead/</t>
  </si>
  <si>
    <t>Lumiere32</t>
  </si>
  <si>
    <t>E-commerce</t>
  </si>
  <si>
    <t>https://www.lumiere32.sg</t>
  </si>
  <si>
    <t>Raman Chauhan</t>
  </si>
  <si>
    <t>Off - +65 - 6678 6565</t>
  </si>
  <si>
    <t>Raman@lumiere32.sg</t>
  </si>
  <si>
    <t>connect@lumiere32.sg</t>
  </si>
  <si>
    <t>May 14th - Cold email./May 31st - Spoke with Priti - Going for meeting -Call tomorrow morning./June 1st - Spk with Priti - Raman is having his lunch.</t>
  </si>
  <si>
    <t>https://e27.co/job/lumiere32-pte-ltd/web-ui-ux-designer</t>
  </si>
  <si>
    <t>https://www.linkedin.com/company/lumiere32/</t>
  </si>
  <si>
    <t>AlemHealth</t>
  </si>
  <si>
    <t>Health/Medical</t>
  </si>
  <si>
    <t>https://www.alemhealth.com/</t>
  </si>
  <si>
    <t>Aschkan Abdul-Malek</t>
  </si>
  <si>
    <t>off - +1 888-645-7661</t>
  </si>
  <si>
    <t>May 15th - Linkedin invite send.</t>
  </si>
  <si>
    <t>https://e27.co/job/alemhealth/full-stack-developer</t>
  </si>
  <si>
    <t>https://www.linkedin.com/company/alemhealthltd/</t>
  </si>
  <si>
    <t>Inventrik Pte Ltd</t>
  </si>
  <si>
    <t xml:space="preserve">Information Technology and Services </t>
  </si>
  <si>
    <t>https://inventrik.com/</t>
  </si>
  <si>
    <t>Neha Lad</t>
  </si>
  <si>
    <t>Neha@inventrik.com</t>
  </si>
  <si>
    <t>May 15th - Cold email./May 31st - 1st followup email./June 6th - 2nd followup email.</t>
  </si>
  <si>
    <t>https://e27.co/job/inventrik-pte-ltd/full-stack-javascript-developer</t>
  </si>
  <si>
    <t>https://www.linkedin.com/company/inventrik-pte-ltd/?originalSubdomain=sg</t>
  </si>
  <si>
    <t>CombineSell</t>
  </si>
  <si>
    <t>http://www.combinesell.com/</t>
  </si>
  <si>
    <t>Loh June Yong</t>
  </si>
  <si>
    <t>M - +65 9036 3766</t>
  </si>
  <si>
    <t>juneyong@combinesell.com</t>
  </si>
  <si>
    <t>May 15th - Messaged via Linkedin.</t>
  </si>
  <si>
    <t>https://e27.co/job/combinesell/junior-php-laravel-backend-developer-1</t>
  </si>
  <si>
    <t>https://www.linkedin.com/company/combinesell/</t>
  </si>
  <si>
    <t>Remote</t>
  </si>
  <si>
    <t>oriradix+meteor@gmail.com</t>
  </si>
  <si>
    <t>May 15th - Cold email.</t>
  </si>
  <si>
    <t>https://www.weworkmeteor.com/jobs/MpX6eZokKiui5B5ir/love-typescript-angular-both-we-re-looking-for-you</t>
  </si>
  <si>
    <t>Upleap</t>
  </si>
  <si>
    <t>Marketing and Advertising</t>
  </si>
  <si>
    <t>https://upleap.com/</t>
  </si>
  <si>
    <t>Emily Trevino</t>
  </si>
  <si>
    <t>emily@upleap.com</t>
  </si>
  <si>
    <t>https://www.weworkmeteor.com/jobs/o9ivxDgs64PycNCYq/junior-developer</t>
  </si>
  <si>
    <t>https://www.linkedin.com/company/upleapdotcom/</t>
  </si>
  <si>
    <t>Switzerland</t>
  </si>
  <si>
    <t>V4UL7 AG</t>
  </si>
  <si>
    <t>https://v4ul7.io</t>
  </si>
  <si>
    <t>Marco Bahn</t>
  </si>
  <si>
    <t>M - +41788567278</t>
  </si>
  <si>
    <t>MARCO@one.io / marco@lab75.jp</t>
  </si>
  <si>
    <t>May 15th - Cold email./May 29th - Called - No answer  - 1st followup email send./May 30th - called - no answer./May 31st - no answer - 2nd followup email./June 21st - Unable to each - 3rd followup email.</t>
  </si>
  <si>
    <t>https://www.f6s.com/jobs/35916/v4ul7.io/dapp-smart-contract-wasm-developer</t>
  </si>
  <si>
    <t>https://www.linkedin.com/in/marcobahn/</t>
  </si>
  <si>
    <t>16/5/2018</t>
  </si>
  <si>
    <t>Canada</t>
  </si>
  <si>
    <t>EMAGIN</t>
  </si>
  <si>
    <t>Civil Engineering</t>
  </si>
  <si>
    <t>https://emagin.ca</t>
  </si>
  <si>
    <t>MOHAMAD VEDUT</t>
  </si>
  <si>
    <t>Off - +1 (226) 476-3230</t>
  </si>
  <si>
    <t>Mohamad@emagin.ca</t>
  </si>
  <si>
    <t>contact@emagin.ca</t>
  </si>
  <si>
    <t>May 16th - Cold email./May 30th - Called - No answer - 1st followup email send.</t>
  </si>
  <si>
    <t>https://www.f6s.com/jobs/35903/emagininc/full-stack-developer</t>
  </si>
  <si>
    <t>https://www.linkedin.com/company/emagin/</t>
  </si>
  <si>
    <t>Nigeria</t>
  </si>
  <si>
    <t>Requana</t>
  </si>
  <si>
    <t>Internet</t>
  </si>
  <si>
    <t>https://requana.com</t>
  </si>
  <si>
    <t>Emmanuel Oladosu</t>
  </si>
  <si>
    <t>Off - +234 8168524235 / +234 8135528700</t>
  </si>
  <si>
    <t>opeyemi@requana.com</t>
  </si>
  <si>
    <t>info@requana.com</t>
  </si>
  <si>
    <t>May 16th - Cold email - Responded via Linkedin - He is suggesting equity payment - He will share the product pitch./May 21st - Initiated the conf call with Prabhakar and Emmanue - Received the requirement - Need to suggest a solution for MVP./May 27th - submitted the proposal - Emmaulel responded - will go through the proposal./May 29th - Called - couldn't reach Emmmanuel - Followup msg send via hangouts./June 4th - No answer./June 21st - Followed via Linkedin - Emmauel responded - Looking for investors - will get back to us soon.</t>
  </si>
  <si>
    <t>https://www.f6s.com/jobs/35893/afterschoolnigeria/android-app-developer</t>
  </si>
  <si>
    <t>https://www.linkedin.com/company/requana/</t>
  </si>
  <si>
    <t>Australia</t>
  </si>
  <si>
    <t>CollabHero</t>
  </si>
  <si>
    <t>E - learing</t>
  </si>
  <si>
    <t>http://www.collabhero.com/  https://inov.io/</t>
  </si>
  <si>
    <t>Shahed Kamal</t>
  </si>
  <si>
    <t>M - 0415515225</t>
  </si>
  <si>
    <t>Sk@collabhero.com / shahed@inov.io</t>
  </si>
  <si>
    <t xml:space="preserve">Off - +1 404 461 9025 </t>
  </si>
  <si>
    <t xml:space="preserve">Skype - shahedx7 </t>
  </si>
  <si>
    <t>May 16th - Cold email - Enquired about the price via email./May 17th - call landed in VM - Email send./May 31st - Shahed - price is low - His expectation - 300AUD per month.</t>
  </si>
  <si>
    <t>http://startupjobs.asia/job/38294-software-engineer-python-reactjs-full-stack-developer-collabhero-anywhere</t>
  </si>
  <si>
    <t>https://www.linkedin.com/in/shahedx/</t>
  </si>
  <si>
    <t>Ifcon Technology</t>
  </si>
  <si>
    <t>https://www.ifcontech.com</t>
  </si>
  <si>
    <t>Nik Izwan Kamel</t>
  </si>
  <si>
    <t>Off -  +603-80691108</t>
  </si>
  <si>
    <t>nikizwan@ifcontech.com</t>
  </si>
  <si>
    <t>info@ifcontech.com</t>
  </si>
  <si>
    <t>May 16th - Cold email./May 31st - Nic not in office - 1st Followup email send./June 6th - Not able to connect - 2nd followup email.</t>
  </si>
  <si>
    <t>http://startupjobs.asia/job/38289-frontend-web-developer-it-ifcon-technology-malaysia</t>
  </si>
  <si>
    <t>https://www.linkedin.com/in/nik-izwan-kamel-5a391183/</t>
  </si>
  <si>
    <t>Yedpay</t>
  </si>
  <si>
    <t>https://yedpay.com</t>
  </si>
  <si>
    <t>Beatrice Tai</t>
  </si>
  <si>
    <t>Off - +852 36908216 / +852 5977 0850(watsapp)</t>
  </si>
  <si>
    <t>info@gcash.co</t>
  </si>
  <si>
    <t>May 16th - Cold email./May 31st - unable to reach the right person - 1st followup email send./June 6th - Beatrice not available - 2nd followup email send.</t>
  </si>
  <si>
    <t>http://startupjobs.asia/job/38242-react-js-developer-it-yedpay-com-hong-kong</t>
  </si>
  <si>
    <t>https://www.linkedin.com/company/yedpay-limited/</t>
  </si>
  <si>
    <t>BeScene</t>
  </si>
  <si>
    <t>Events Services</t>
  </si>
  <si>
    <t>http://www.besceneapp.com/</t>
  </si>
  <si>
    <t>Jimmy Teo</t>
  </si>
  <si>
    <t>jimmy@bescene.sg</t>
  </si>
  <si>
    <t>hi@bescene.sg</t>
  </si>
  <si>
    <t>May 16th - Cold email./June 6th - 1st followup email.</t>
  </si>
  <si>
    <t>http://startupjobs.asia/job/38113-front-end-developer-singapore-myanmar-it-bescene-singapore</t>
  </si>
  <si>
    <t>https://www.linkedin.com/company/bescene-app/</t>
  </si>
  <si>
    <t>Dioworks Learning Sdn Bhd</t>
  </si>
  <si>
    <t>https://www.dioworksgroup.com</t>
  </si>
  <si>
    <t>DR MICHAEL CHOY</t>
  </si>
  <si>
    <t>Off - +65 6635 8116</t>
  </si>
  <si>
    <t>MICHAEL@dioworksgroup.com / BRYAN@dioworksgroup.com</t>
  </si>
  <si>
    <t>May 16th - Cold email./May 31st - Spoke with Eroy - Both Michael &amp; Bryan are not available - Call scheduled on Monday @ 12.17PM IST./June 4th - Spoke with Bryan - Will discuss with Michael and let us know.</t>
  </si>
  <si>
    <t>http://startupjobs.asia/job/38203-python-developers-back-end-developers-dioworks-learning-sdn-bhd-malaysia</t>
  </si>
  <si>
    <t>https://www.linkedin.com/in/michael-choy-004ab675/</t>
  </si>
  <si>
    <t>Actigage Pte Ltd</t>
  </si>
  <si>
    <t>http://www.actigage.com/</t>
  </si>
  <si>
    <t>Gautam Prabhu</t>
  </si>
  <si>
    <t>Gautam@actigage.com</t>
  </si>
  <si>
    <t>sales@actigage.com</t>
  </si>
  <si>
    <t>May 16th - Cold email./May 31st - 1st followup email./June 6th - 2nd followup email.</t>
  </si>
  <si>
    <t>http://startupjobs.asia/job/38155-senior-back-end-developer-back-end-developers-actigage-india</t>
  </si>
  <si>
    <t>https://www.linkedin.com/company/actigage/</t>
  </si>
  <si>
    <t>Mentorica Technology Pte. Ltd</t>
  </si>
  <si>
    <t>http://www.mentorica.com/</t>
  </si>
  <si>
    <t>Marc Rakotomalala</t>
  </si>
  <si>
    <t>Off - +65 9025 7068</t>
  </si>
  <si>
    <t>May 16th - Messaged via Linkedin./may 17th - Accepted the Linkedin invite - He thought me as a developer - Called - In meeting./May 17th - Linkedin msg - do not want to use outside developers.</t>
  </si>
  <si>
    <t>https://www.techinasia.com/jobs/2ad167a2-cdb5-414c-a271-ee30cfc2b786</t>
  </si>
  <si>
    <t>https://www.linkedin.com/company/mentorica-technology/?originalSubdomain=in</t>
  </si>
  <si>
    <t>Breakthrough Innovation Lab</t>
  </si>
  <si>
    <t>http://www.btinnolab.com/</t>
  </si>
  <si>
    <t>Pak H. Chau</t>
  </si>
  <si>
    <t>Off - +852 39746572</t>
  </si>
  <si>
    <t>Pak@btinnolab.com</t>
  </si>
  <si>
    <t>May 16th - Cold email./May 31st - unable to connect - 1st followup email send./June 6th - Unable to connect - 2nd followup email.</t>
  </si>
  <si>
    <t>https://www.techinasia.com/jobs/adaa5e8c-ecf5-4355-b49c-6cfa3d605523</t>
  </si>
  <si>
    <t>https://www.linkedin.com/company/btinnolab/</t>
  </si>
  <si>
    <t>Meisterwerk-App</t>
  </si>
  <si>
    <t>https://meisterwerk-app.de</t>
  </si>
  <si>
    <t>Bertram Wildenauer</t>
  </si>
  <si>
    <t>Off - 030 / 45977161</t>
  </si>
  <si>
    <t xml:space="preserve"> info@meisterwerk-app.de</t>
  </si>
  <si>
    <t>May 16th - Cold email - Looking for people in Berlin.</t>
  </si>
  <si>
    <t>https://www.f6s.com/jobs/35841/meisterwerk/java-script-engineer</t>
  </si>
  <si>
    <t>https://www.linkedin.com/in/bertram-wildenauer-03759293/</t>
  </si>
  <si>
    <t>Haulio Pte Ltd</t>
  </si>
  <si>
    <t>Logistics and Supply Chain</t>
  </si>
  <si>
    <t>http://www.haulio.io</t>
  </si>
  <si>
    <t>Alvin Ea</t>
  </si>
  <si>
    <t>Off - +65 8508 2327</t>
  </si>
  <si>
    <t>Alvin@haulio.io</t>
  </si>
  <si>
    <t>hello@haulio.io</t>
  </si>
  <si>
    <t>May 29th - Cold email./May 31st - Spoke with Alvin - His team is evaluating the resources - He will ask to take a look at us - Acknowledgement email send./June 6th - Spoke to Alvin - They are good with the resources.</t>
  </si>
  <si>
    <t>http://startupjobs.asia/job/38130-machine-learning-software-engineer-haulio-pte-ltd-singapore</t>
  </si>
  <si>
    <t>https://www.linkedin.com/company/haulio/</t>
  </si>
  <si>
    <t>Fatfish Internet Group</t>
  </si>
  <si>
    <t>http://www.fatfish.co</t>
  </si>
  <si>
    <t>Ms</t>
  </si>
  <si>
    <t>Chelsy Chiew</t>
  </si>
  <si>
    <t>Off - +61 3 8611 5353</t>
  </si>
  <si>
    <t>Chelsy.Chiew@fatfish.co</t>
  </si>
  <si>
    <t>info@fatfish.co</t>
  </si>
  <si>
    <t>May 29th - Cold email./May 31st - unable to find the right person./June 6th - No answer - 1st followup email.</t>
  </si>
  <si>
    <t>http://startupjobs.asia/job/37763-full-stack-developer-fatfish-internet-group-anywhere</t>
  </si>
  <si>
    <t>https://www.linkedin.com/company/fatfish-group/</t>
  </si>
  <si>
    <t>Vase.ai</t>
  </si>
  <si>
    <t xml:space="preserve">Market Research </t>
  </si>
  <si>
    <t>https://vase.ai</t>
  </si>
  <si>
    <t>Asyrique Thevendran</t>
  </si>
  <si>
    <t>Off - +6017-720 6788 / +6016-417 1988</t>
  </si>
  <si>
    <t>Asyrique@vase.ai</t>
  </si>
  <si>
    <t>expert@vase.ai</t>
  </si>
  <si>
    <t>May 30th - Cold email./May 30th - Asyrique responded - looking for onsite resources./May 31st - Responded to Asyrique.</t>
  </si>
  <si>
    <t>http://startupjobs.asia/job/38529-fullstack-engineer-fullstack-engineer-intern-full-stack-developer-vase-ai-malaysia</t>
  </si>
  <si>
    <t>https://www.linkedin.com/company/vase-technologies/</t>
  </si>
  <si>
    <t>Werebits</t>
  </si>
  <si>
    <t>https://www.werebits.com</t>
  </si>
  <si>
    <t>Seng Ning Ting</t>
  </si>
  <si>
    <t>Off - +60 3 2276 3988 / +31 6 55977183</t>
  </si>
  <si>
    <t>ning@werebits.com</t>
  </si>
  <si>
    <t>enquiry@werebits.com</t>
  </si>
  <si>
    <t>May 30th - Cold email./May 31st - Spoke with Win - Asked to call back in 30 mins @ 12PM - Spoke with Teon - not interested in outsourcing.</t>
  </si>
  <si>
    <t>http://startupjobs.asia/job/38497-web-mobile-developer-trainee-it-werebits-malaysia</t>
  </si>
  <si>
    <t>https://www.linkedin.com/company/werebits-sdn-bhd-/</t>
  </si>
  <si>
    <t>Bereev</t>
  </si>
  <si>
    <t>Computer Software</t>
  </si>
  <si>
    <t>https://bereev.com</t>
  </si>
  <si>
    <t>Izumi Inoue</t>
  </si>
  <si>
    <t>Off - +60 18-872 1084 (Watsap)</t>
  </si>
  <si>
    <t>Izumi@bereev.com</t>
  </si>
  <si>
    <t>May 30th - Cold email./May 31st - Spoke with Izumi - looking for full time resource.</t>
  </si>
  <si>
    <t>http://startupjobs.asia/job/38379-full-stack-developer-it-bereev-malaysia</t>
  </si>
  <si>
    <t>https://www.linkedin.com/company/bereev/</t>
  </si>
  <si>
    <t>Omnilytics</t>
  </si>
  <si>
    <t>Apparel &amp; Fashion</t>
  </si>
  <si>
    <t>https://omnilytics.co/</t>
  </si>
  <si>
    <t>Marcus Low</t>
  </si>
  <si>
    <t>Marcus@omnilytics.co</t>
  </si>
  <si>
    <t>May 31st - Cold email./June 6th - 1st followup email.</t>
  </si>
  <si>
    <t>http://startupjobs.asia/job/38558-front-end-engineer-it-omnilytics-malaysia</t>
  </si>
  <si>
    <t>https://www.linkedin.com/company/omnilytics-analytics/</t>
  </si>
  <si>
    <t>uHoo</t>
  </si>
  <si>
    <t>Real Estate</t>
  </si>
  <si>
    <t>https://uhooair.com</t>
  </si>
  <si>
    <t>Brian Lin</t>
  </si>
  <si>
    <t>Brian@uhooair.com</t>
  </si>
  <si>
    <t>hello@uhooair.com</t>
  </si>
  <si>
    <t>http://startupjobs.asia/job/38509-backend-developer-back-end-developers-uhoo-hong-kong</t>
  </si>
  <si>
    <t>https://www.linkedin.com/company/uhoo/</t>
  </si>
  <si>
    <t>Plasma Bank</t>
  </si>
  <si>
    <t>https://plasmabank.com/</t>
  </si>
  <si>
    <t>Ilia Maksimenka</t>
  </si>
  <si>
    <t>IM@plasmabank.com</t>
  </si>
  <si>
    <t>hi@plasmabank.com</t>
  </si>
  <si>
    <t>https://www.techinasia.com/jobs/bd50377e-317d-4195-acd2-189fec3f1de4</t>
  </si>
  <si>
    <t>https://www.linkedin.com/company/plasmabank/</t>
  </si>
  <si>
    <t>fidentiaX</t>
  </si>
  <si>
    <t>https://www.fidentiax.com/</t>
  </si>
  <si>
    <t>Alvin Ang</t>
  </si>
  <si>
    <t>Alvin.a@fidentiax.com</t>
  </si>
  <si>
    <t>hello@fidentiax.com</t>
  </si>
  <si>
    <t>May 31st - Cold email./June 6th - 1st followup email - Alvin responded via email - He will contact us if there are any requirements.</t>
  </si>
  <si>
    <t>https://www.techinasia.com/jobs/7dc8e920-1c24-44ca-ab7e-0b131413ce7c</t>
  </si>
  <si>
    <t>https://www.linkedin.com/company/fidentiax/</t>
  </si>
  <si>
    <t>Pulse iD</t>
  </si>
  <si>
    <t>https://pulseid.com</t>
  </si>
  <si>
    <t>Shak Tiwari</t>
  </si>
  <si>
    <t xml:space="preserve">Off - +852 9327 5293 / +61 449 945 767  </t>
  </si>
  <si>
    <t>Shak@pulseid.com</t>
  </si>
  <si>
    <t>contact@pulseid.com</t>
  </si>
  <si>
    <t>May 31st - Cold email./June 1st - Unable to connect - 1st followup email./June 4th - No answer./June 6th - Unable to connect with Shak - 2nd followup email./June 19th - 4th followup email - auto msg - on leave.</t>
  </si>
  <si>
    <t>https://www.techinasia.com/jobs/7258757f-705b-416c-9115-92d4d3dd10a3</t>
  </si>
  <si>
    <t>https://www.linkedin.com/company-beta/10972014/?pathWildcard=10972014</t>
  </si>
  <si>
    <t>Utrum</t>
  </si>
  <si>
    <t>Computer &amp; Network Security</t>
  </si>
  <si>
    <t>https://utrum.io/</t>
  </si>
  <si>
    <t>Sridhar Panasa</t>
  </si>
  <si>
    <t>Sridhar@utrum.io</t>
  </si>
  <si>
    <t>contact@utrum.io</t>
  </si>
  <si>
    <t>May 31st - Cold email./May 31st - Sridhar responded in Linkedin - Building his own team.</t>
  </si>
  <si>
    <t>https://www.techinasia.com/jobs/7d514d7a-f1fa-4db6-8548-6813975a0263</t>
  </si>
  <si>
    <t>https://www.linkedin.com/company/utrum/</t>
  </si>
  <si>
    <t>Point Hacks</t>
  </si>
  <si>
    <t>Media Production</t>
  </si>
  <si>
    <t>https://www.pointhacks.com.au/  - http://davejameswalsh.com</t>
  </si>
  <si>
    <t>David Walsh</t>
  </si>
  <si>
    <t>M - +61 (0) 415 587 430</t>
  </si>
  <si>
    <t>davejameswalsh@hotmail.com</t>
  </si>
  <si>
    <t>May 31st - Cold email./June 1st - No answer - 1st followup email./June 6th - No answer./June 19th - 1st followup email.</t>
  </si>
  <si>
    <t>https://www.techinasia.com/jobs/a8a87287-ddb9-450f-9ee8-984d5cd7dc2c</t>
  </si>
  <si>
    <t>https://www.linkedin.com/company/point-hacks/</t>
  </si>
  <si>
    <t>Picoded</t>
  </si>
  <si>
    <t>https://picoded.com/</t>
  </si>
  <si>
    <t>contact@picoded.com</t>
  </si>
  <si>
    <t>May 31st - Cold email./June 6th - 1st followup email./June 19th - 1st followup email.</t>
  </si>
  <si>
    <t>https://www.techinasia.com/jobs/f4149228-6b06-4628-ad1b-5a725e812382</t>
  </si>
  <si>
    <t>Auk.Industries</t>
  </si>
  <si>
    <t>Mechanical or Industrial Engineering</t>
  </si>
  <si>
    <t>https://auk.industries/</t>
  </si>
  <si>
    <t>Joseph Lum</t>
  </si>
  <si>
    <t>Off - +6568163656</t>
  </si>
  <si>
    <t>Joseph.Lum@auk.industries</t>
  </si>
  <si>
    <t>euharn.lee@auk.industries</t>
  </si>
  <si>
    <t>May 31st - Cold email./June 1st - Spoke with Joseph - Good Call - He will contact us if there is any need - Followup 10 days later - Acknowledgement email send.</t>
  </si>
  <si>
    <t>https://www.techinasia.com/jobs/8eb3d15c-2dbc-412d-830e-08d3b75902c3</t>
  </si>
  <si>
    <t>https://www.linkedin.com/company/auk.industries/</t>
  </si>
  <si>
    <t>Cloudaron Pte Ltd</t>
  </si>
  <si>
    <t>https://www.cloudaron.com/</t>
  </si>
  <si>
    <t>CJ Ong</t>
  </si>
  <si>
    <t>Off - +6018 605 0205 / M - 0162121073</t>
  </si>
  <si>
    <t>CJ.Ong@cloudaron.com</t>
  </si>
  <si>
    <t>contact@cloudaron.com</t>
  </si>
  <si>
    <t>May 31st - Cold email./June 1st - Spoke with CJ Ong - not interested.</t>
  </si>
  <si>
    <t>https://www.techinasia.com/jobs/1bb51ddc-d618-459d-94ce-5812a38bd180</t>
  </si>
  <si>
    <t>https://www.linkedin.com/company/cloudaron-pte-ltd/</t>
  </si>
  <si>
    <t>Groupstar</t>
  </si>
  <si>
    <t>https://www.groupstar.io/</t>
  </si>
  <si>
    <t>Ria Lao</t>
  </si>
  <si>
    <t>Ria@groupstar.io</t>
  </si>
  <si>
    <t>https://www.techinasia.com/jobs/9a814980-ec40-444e-bcd3-4fa26084cf6f</t>
  </si>
  <si>
    <t>https://www.linkedin.com/company/groupstar/</t>
  </si>
  <si>
    <t>Actively Inc</t>
  </si>
  <si>
    <t>Health, Wellness and Fitness</t>
  </si>
  <si>
    <t>https://actively.ai/</t>
  </si>
  <si>
    <t>Mark Progano</t>
  </si>
  <si>
    <t>Mark@actively.ai</t>
  </si>
  <si>
    <t>May 31st - Cold email - Not interested.</t>
  </si>
  <si>
    <t>https://www.f6s.com/jobs/36387/actively/full-stack-javascript-engineer</t>
  </si>
  <si>
    <t>https://www.linkedin.com/company/activelyinc/</t>
  </si>
  <si>
    <t>Israel</t>
  </si>
  <si>
    <t>Jibble music</t>
  </si>
  <si>
    <t>Music</t>
  </si>
  <si>
    <t>http://www.jibble.co/</t>
  </si>
  <si>
    <t>Oded Levanon</t>
  </si>
  <si>
    <t>May 31st - Linkedin request send.</t>
  </si>
  <si>
    <t>https://www.f6s.com/jobs/36377/jibblemusic/cto</t>
  </si>
  <si>
    <t>https://www.linkedin.com/in/odedlevanon/</t>
  </si>
  <si>
    <t>Nexasoft Sdn Bhd</t>
  </si>
  <si>
    <t>http://www.nexasoft.my</t>
  </si>
  <si>
    <t>Hezri Amir</t>
  </si>
  <si>
    <t>Off - +603 5613 3770 / +6018 777 7876</t>
  </si>
  <si>
    <t>Hezri@nexasoft.my / Sufian@nexasoft.my</t>
  </si>
  <si>
    <t>June 4th - Spoke with Noorul - Both Sufian and Hezri not available - Email send to Hezri./June 6th - Hezri &amp; Sufian not available -Call tomorrow @ 10AM SGT - 1st followup email./June 7th - Spoke with Noorul - She will set up an appointment - Call again on Monday @ 12PM IST.</t>
  </si>
  <si>
    <t>http://startupjobs.asia/job/38616-programmer-it-nexasoft-sdn-bhd-malaysia</t>
  </si>
  <si>
    <t>https://www.linkedin.com/company/nexasoft-sdn-bhd/</t>
  </si>
  <si>
    <t>Tetrium.io</t>
  </si>
  <si>
    <t>https://tetrium.io/</t>
  </si>
  <si>
    <t>Marcus Toy</t>
  </si>
  <si>
    <t>Off - Mecreativestudio -  +60 17 468 5208</t>
  </si>
  <si>
    <t>Marcus@tetrium.io / Marcus.Toy@tetrium.io</t>
  </si>
  <si>
    <t>support@tetrium.io</t>
  </si>
  <si>
    <t>marcustoy@mecreativestudio.com</t>
  </si>
  <si>
    <t>June 4th - Cold email./June 19th - 1st followup email.</t>
  </si>
  <si>
    <t>http://startupjobs.asia/job/38614-software-engineer-intern-interested-in-blockchain-technology-full-stack-developer-tetrium-malaysia</t>
  </si>
  <si>
    <t>https://www.linkedin.com/company/tetrium/</t>
  </si>
  <si>
    <t>Penefit Sdn Bhd</t>
  </si>
  <si>
    <t>https://www.penefit.com</t>
  </si>
  <si>
    <t>Jack Lok</t>
  </si>
  <si>
    <t>Off - +60 18-317 8388</t>
  </si>
  <si>
    <t>hello@penefit.com</t>
  </si>
  <si>
    <t>June 4th - Called - No answer./June 6th - No answer - 1st followup email send./June 7th - No answer./June 8th - Jack responded - expressed interest in outsourcing - enquired about the price.</t>
  </si>
  <si>
    <t>http://startupjobs.asia/job/38604-full-stack-developer-it-penefit-sdn-bhd-malaysia</t>
  </si>
  <si>
    <t>https://www.linkedin.com/in/jack-lok-ba7b254/</t>
  </si>
  <si>
    <t>Blocklime</t>
  </si>
  <si>
    <t>http://blocklime.com/</t>
  </si>
  <si>
    <t>Harpreet Singh Maan</t>
  </si>
  <si>
    <t>M - +60169983708</t>
  </si>
  <si>
    <t>Harpreet@blocklime.com</t>
  </si>
  <si>
    <t>June 4th - Spoke with Harpreet - Interested in inhouse hiring - Convinced for urgent &amp; tight dead line task - He will speak with CTO and come back to us./June 8th - Harpreet - he has passed it to his CTO - CTO has to respond.</t>
  </si>
  <si>
    <t>http://startupjobs.asia/job/38639-front-end-developer-front-end-developers-blocklime-malaysia</t>
  </si>
  <si>
    <t>https://www.linkedin.com/company/blocklime/</t>
  </si>
  <si>
    <t>CodiGeeks</t>
  </si>
  <si>
    <t>https://www.codigeeks.com/</t>
  </si>
  <si>
    <t>Kim Lan</t>
  </si>
  <si>
    <t xml:space="preserve">Off - +(65) 6100 6401 </t>
  </si>
  <si>
    <t>enquiry@codigeeks.com</t>
  </si>
  <si>
    <t>June 4th - No answer - Cold email./June 6th - No answer -1st Followup email./June 7th - No answer.</t>
  </si>
  <si>
    <t>https://www.techinasia.com/jobs/67add6f2-758c-43e0-ae89-3fb95f0f9aab</t>
  </si>
  <si>
    <t>https://www.linkedin.com/company/codigeeks/</t>
  </si>
  <si>
    <t>Moon Assist</t>
  </si>
  <si>
    <t>https://www.moonassist.com</t>
  </si>
  <si>
    <t>Lars de Veer</t>
  </si>
  <si>
    <t>lars@moonassist.com</t>
  </si>
  <si>
    <t>https://www.techinasia.com/jobs/d481fd12-ad50-47fb-96e9-cc9e35757b73</t>
  </si>
  <si>
    <t>https://www.linkedin.com/company/moonassist/</t>
  </si>
  <si>
    <t>UK</t>
  </si>
  <si>
    <t>EQUITY X</t>
  </si>
  <si>
    <t>https://www.equity-x.com/</t>
  </si>
  <si>
    <t>Akio Kurata</t>
  </si>
  <si>
    <t>akio.Kurata@equity-x.com</t>
  </si>
  <si>
    <t>https://www.f6s.com/jobs/36453/equityx1/senior-architect</t>
  </si>
  <si>
    <t>https://www.linkedin.com/in/akio-kurata-540a8053/</t>
  </si>
  <si>
    <t>Cybersprout Pte Ltd</t>
  </si>
  <si>
    <t>http://www.cybersprout.com/</t>
  </si>
  <si>
    <t>career@cybersprout.com</t>
  </si>
  <si>
    <t>June 5th - Cold email./June 19th - 1st followup email.</t>
  </si>
  <si>
    <t>https://www.techinasia.com/jobs/cb32ecf2-a585-47ae-b4cf-eb31d0262abd</t>
  </si>
  <si>
    <t>Spot Works</t>
  </si>
  <si>
    <t>Design</t>
  </si>
  <si>
    <t>https://spotworks.com.sg</t>
  </si>
  <si>
    <t>Christopher Wang</t>
  </si>
  <si>
    <t>M - +65 63488607 / Off - +65 63365771</t>
  </si>
  <si>
    <t xml:space="preserve">chris@immevr.com / Chris@spotworks.com.sg </t>
  </si>
  <si>
    <t>admin@spotworks.com.sg</t>
  </si>
  <si>
    <t>June 5th - Spoke with Chris - He said they are looking for inhouse hire - But convinced him - Asked for the profiles.</t>
  </si>
  <si>
    <t>https://www.techinasia.com/jobs/e622953e-7042-42e9-91a4-b96c725b9e86</t>
  </si>
  <si>
    <t>https://www.linkedin.com/company/spot-works/</t>
  </si>
  <si>
    <t>Finland</t>
  </si>
  <si>
    <t>Presnsr</t>
  </si>
  <si>
    <t>Consumer Electronics</t>
  </si>
  <si>
    <t>https://presnsr.com/</t>
  </si>
  <si>
    <t>Javier Hernandez</t>
  </si>
  <si>
    <t>Javier@presnsr.com</t>
  </si>
  <si>
    <t>June 5th - Cold email - Javier responded - Asked why should he use our team? - Responded back to Javier - Asked about the conditions for PoC./June 8th - Followup email.</t>
  </si>
  <si>
    <t>https://www.f6s.com/jobs/36467/presnsr/full-stack-developer</t>
  </si>
  <si>
    <t>https://www.linkedin.com/company/presnsr/</t>
  </si>
  <si>
    <t>Egypt</t>
  </si>
  <si>
    <t>CoatConnect</t>
  </si>
  <si>
    <t>Mohamed Warda</t>
  </si>
  <si>
    <t>Mohamed.warda@CoatConnect.com</t>
  </si>
  <si>
    <t>https://www.f6s.com/jobs/36446/coatconnect/technical-co-founder</t>
  </si>
  <si>
    <t>https://www.linkedin.com/in/dr-mohamed-warda/</t>
  </si>
  <si>
    <t>Archangel Imaging</t>
  </si>
  <si>
    <t>https://www.archangel.im</t>
  </si>
  <si>
    <t>Daniel Sola</t>
  </si>
  <si>
    <t>Off -  (+44) 01865 600 415</t>
  </si>
  <si>
    <t>D.sola@archangel.im</t>
  </si>
  <si>
    <t>Trang Tran</t>
  </si>
  <si>
    <t>t.Tran@archangel.im</t>
  </si>
  <si>
    <t>info@archangel.im</t>
  </si>
  <si>
    <t>June 5th - Spoke with SuZu - Tran not available - Send email./June 21st - Tran not around - Call tomorrow evening @ 6PM IST - 1st followup email./June 22nd - Spoke with Trang - They are hiring inhouse resources.</t>
  </si>
  <si>
    <t>https://www.f6s.com/jobs/36424/archangelimagingltd/lead-full-stack-web-developer-ai-iot</t>
  </si>
  <si>
    <t>https://www.linkedin.com/company/archangelimaging/</t>
  </si>
  <si>
    <t>iGeolise Ltd</t>
  </si>
  <si>
    <t>https://www.traveltimeplatform.com/</t>
  </si>
  <si>
    <t>Antanas Dapkus</t>
  </si>
  <si>
    <t>Off - +44 (0) 207 096 1473</t>
  </si>
  <si>
    <t>charlie@igeolize.com</t>
  </si>
  <si>
    <t>June 5th - Tried to reach Antanas - Not available - Email send./June 21st - Antanas not available.</t>
  </si>
  <si>
    <t>https://www.f6s.com/jobs/36478/igeoliseltd1/remote-web-developer</t>
  </si>
  <si>
    <t>https://www.linkedin.com/company/igeolise-ltd/</t>
  </si>
  <si>
    <t>CladNetwork</t>
  </si>
  <si>
    <t>https://cladnetwork.com</t>
  </si>
  <si>
    <t>Andrew Reker</t>
  </si>
  <si>
    <t>Off - +(607) 216-6127</t>
  </si>
  <si>
    <t>andrewr@cladnetwork.com</t>
  </si>
  <si>
    <t>https://www.f6s.com/jobs/36423/cladnetwork/software-developer</t>
  </si>
  <si>
    <t>https://www.linkedin.com/company/cladnetwork/</t>
  </si>
  <si>
    <t>Portugal</t>
  </si>
  <si>
    <t>Parkware</t>
  </si>
  <si>
    <t>Transportation/Trucking/Railroad</t>
  </si>
  <si>
    <t>http://www.parkware.eu</t>
  </si>
  <si>
    <t>Ricardo Vitorino</t>
  </si>
  <si>
    <t xml:space="preserve">Off - +351 234 484 466 /(+351) 239 151 993
</t>
  </si>
  <si>
    <t>RVitorino@ubiwhere.com</t>
  </si>
  <si>
    <t>June 5th - Cold email./June 6th - Unable to connect./June 19th - Spoke with gatekeeper - asked to drop an email - Ricardo responded - hiring only in Portugal.</t>
  </si>
  <si>
    <t>https://www.f6s.com/jobs/36373/parkwarebyubiwhere/backend-developer/</t>
  </si>
  <si>
    <t>https://www.linkedin.com/company/parkware/</t>
  </si>
  <si>
    <t>UAE, Dubai</t>
  </si>
  <si>
    <t>B HIVE</t>
  </si>
  <si>
    <t>Events &amp; Exhibitions Apps</t>
  </si>
  <si>
    <t>http://b-hive.com/</t>
  </si>
  <si>
    <t>Fawaz Al-Fraiji</t>
  </si>
  <si>
    <t>fawaz@b-hive.com</t>
  </si>
  <si>
    <t>https://www.f6s.com/jobs/36369/bhive.com/android-developer</t>
  </si>
  <si>
    <t>https://www.linkedin.com/in/fawazfraiji/</t>
  </si>
  <si>
    <t>GoParkr</t>
  </si>
  <si>
    <t>https://goparkr.com/</t>
  </si>
  <si>
    <t>Frank Jing</t>
  </si>
  <si>
    <t>Frank@goparkr.com</t>
  </si>
  <si>
    <t>contact@goparkr.com</t>
  </si>
  <si>
    <t>June 5th - Cold email./June 19th - 1st followup email - Frank responded - not interested, remove from sales list.</t>
  </si>
  <si>
    <t>https://www.f6s.com/jobs/36356/goparkr/software-engineer-frontend-remote-ok</t>
  </si>
  <si>
    <t>https://www.linkedin.com/company/goparkr/</t>
  </si>
  <si>
    <t>Kopernio</t>
  </si>
  <si>
    <t>Information Services</t>
  </si>
  <si>
    <t>https://kopernio.com/</t>
  </si>
  <si>
    <t>Jan Reichelt</t>
  </si>
  <si>
    <t>Jan@kopernio.com / Jan.Reichelt@kopernio.com</t>
  </si>
  <si>
    <t>June 6th - Cold email.</t>
  </si>
  <si>
    <t>https://www.f6s.com/jobs/36492/kopernio/senior-front-end-developer</t>
  </si>
  <si>
    <t>https://www.linkedin.com/company/kopernio/</t>
  </si>
  <si>
    <t>Skedda Bookings</t>
  </si>
  <si>
    <t>https://www.skedda.com</t>
  </si>
  <si>
    <t>Jonathan Fagg</t>
  </si>
  <si>
    <t>Off - +49 0427102449</t>
  </si>
  <si>
    <t>Jon@skedda.com</t>
  </si>
  <si>
    <t>info@skedda.com</t>
  </si>
  <si>
    <t>June 6th - Cold email - Called - Unable to reach./June 19th - Unable to reach - Followup email send./June 21st - Unable to reach - 2nd followup email.</t>
  </si>
  <si>
    <t>https://www.f6s.com/jobs/36488/skeddabookings/full-stack-web-developer-net-ember</t>
  </si>
  <si>
    <t>https://www.linkedin.com/company/skedda/</t>
  </si>
  <si>
    <t>PPC Protect</t>
  </si>
  <si>
    <t>https://ppcprotect.com/</t>
  </si>
  <si>
    <t>Segev Hochberg</t>
  </si>
  <si>
    <t>Off - +44 01204235288</t>
  </si>
  <si>
    <t>Segev@ppcprotect.com</t>
  </si>
  <si>
    <t>contact@ppcprotect.com</t>
  </si>
  <si>
    <t>June 6th - Sevev not available - Intro email./June 19th - No answer - 1st followup email send - Segev responded - not interested in outsourcing.</t>
  </si>
  <si>
    <t>https://www.f6s.com/jobs/36380/ppcprotect/full-stack-developer</t>
  </si>
  <si>
    <t>https://www.linkedin.com/company/ppc-protect-limited/</t>
  </si>
  <si>
    <t>Denmark</t>
  </si>
  <si>
    <t>NOVALUME</t>
  </si>
  <si>
    <t>https://novalu.me</t>
  </si>
  <si>
    <t>Thomas Mikkelsen</t>
  </si>
  <si>
    <t>Off - +45 46162517</t>
  </si>
  <si>
    <t xml:space="preserve">tm@novalu.me </t>
  </si>
  <si>
    <t>NB@novalu.me</t>
  </si>
  <si>
    <t>Off - +45 35 37 88 88</t>
  </si>
  <si>
    <t>info@novalu.me</t>
  </si>
  <si>
    <t>June 6th - Spoke with Thomas - They are looking for inhouse resourse for this particular project - They will outsource in future.</t>
  </si>
  <si>
    <t>https://www.f6s.com/jobs/36305/novalume/iot-software-application-engineer</t>
  </si>
  <si>
    <t>https://www.linkedin.com/company/novalume/</t>
  </si>
  <si>
    <t>See-Mode Technologies</t>
  </si>
  <si>
    <t>Medical Devices</t>
  </si>
  <si>
    <t>https://www.see-mode.com/</t>
  </si>
  <si>
    <t>Sadaf Monajemi</t>
  </si>
  <si>
    <t>Sadaf@see-mode.com</t>
  </si>
  <si>
    <t>June 6th - Cold email./June 19th - 1st followup email.</t>
  </si>
  <si>
    <t>https://www.f6s.com/jobs/36303/see-modetechnologies/computer-vision-engineer</t>
  </si>
  <si>
    <t>https://www.linkedin.com/company/see-mode-technologies/</t>
  </si>
  <si>
    <t>The Dealer App</t>
  </si>
  <si>
    <t>Entertainment</t>
  </si>
  <si>
    <t>https://thedealerapp.co.uk/</t>
  </si>
  <si>
    <t>Edward Alun-Jones</t>
  </si>
  <si>
    <t>Off - +44 7775 505152(call charged heavily)</t>
  </si>
  <si>
    <t>Ed@thedealerapp.co.uk</t>
  </si>
  <si>
    <t>June 6th - Cold email./June 7th - Edward not available - call cost is high./June 19th - Spoke with Jerome(Ed's father) - Followup email send./June 21st - Ed's father asked not to call again in this number - Asked to get him via email.</t>
  </si>
  <si>
    <t>https://www.f6s.com/jobs/36316/thedealerapp/full-stack-developer/</t>
  </si>
  <si>
    <t>https://www.linkedin.com/company/the-dealer-app-limited/</t>
  </si>
  <si>
    <t>Crypto-Potential</t>
  </si>
  <si>
    <t>https://www.crypto-potential.com</t>
  </si>
  <si>
    <t>Dario Sagud</t>
  </si>
  <si>
    <t>Off - +41 79 89 837 70</t>
  </si>
  <si>
    <t>qcryptoweb@gmail.com</t>
  </si>
  <si>
    <t>Skype - dsagud</t>
  </si>
  <si>
    <t>June 6th - Cold email - Responded - this is an unpaid position.</t>
  </si>
  <si>
    <t>https://www.f6s.com/jobs/36300/cryptopotential/angular-2-developer</t>
  </si>
  <si>
    <t>https://www.linkedin.com/company/crypto-potential/</t>
  </si>
  <si>
    <t>Austria</t>
  </si>
  <si>
    <t>Jingle</t>
  </si>
  <si>
    <t>https://www.jingle.market/</t>
  </si>
  <si>
    <t>Luke Binder</t>
  </si>
  <si>
    <t>Off - +43 650 9405071(call charged heavily)</t>
  </si>
  <si>
    <t>Luke@jingle.market</t>
  </si>
  <si>
    <t>hello@jingle.market</t>
  </si>
  <si>
    <t>June 6th - Cold email./June 7th - Unable to connect - Call cost is high./June 19th - unable to connect - Call cost is high.</t>
  </si>
  <si>
    <t>https://www.f6s.com/jobs/36244/jingle/lead-web-developer-full-time/</t>
  </si>
  <si>
    <t>https://www.linkedin.com/company/jingle.market/</t>
  </si>
  <si>
    <t>Qritive</t>
  </si>
  <si>
    <t>http://qritive.com/</t>
  </si>
  <si>
    <t>Kaveh Taghipour</t>
  </si>
  <si>
    <t>Kaveh@qritive.com</t>
  </si>
  <si>
    <t>https://www.f6s.com/jobs/36239/qritive/computer-vision-intern</t>
  </si>
  <si>
    <t>https://www.linkedin.com/company/qritive/</t>
  </si>
  <si>
    <t>Spain</t>
  </si>
  <si>
    <t>TripMedic</t>
  </si>
  <si>
    <t>https://tripmedic.com/</t>
  </si>
  <si>
    <t>Emanuele Cavasassi</t>
  </si>
  <si>
    <t>Off - +34 938 00 48 04 / +39 0733 663618</t>
  </si>
  <si>
    <t>Emanuele.Cavasassi@tripmedic.com / Emanuele@tripmedic.com</t>
  </si>
  <si>
    <t>contact@tripmedic.com</t>
  </si>
  <si>
    <t>June 6th - Cold email./June 7th - Unable to reach the person./June 19th - Unable to reach - 1st followup email send.</t>
  </si>
  <si>
    <t>https://www.f6s.com/jobs/36232/tripmedic/web-developer-wordpress</t>
  </si>
  <si>
    <t>https://www.linkedin.com/company/tripmedic/</t>
  </si>
  <si>
    <t>Chainstack</t>
  </si>
  <si>
    <t>https://chainstack.com/</t>
  </si>
  <si>
    <t>Eugene Aseev</t>
  </si>
  <si>
    <t>EA@chainstack.com</t>
  </si>
  <si>
    <t>June 14th - Cold email./June 19th - 1st followup email.</t>
  </si>
  <si>
    <t>https://www.techinasia.com/jobs/a77848a0-3d09-4939-a5e2-6c86b4cef44e</t>
  </si>
  <si>
    <t>https://www.linkedin.com/company/chainstack/</t>
  </si>
  <si>
    <t>Ludic Games Pte Ltd</t>
  </si>
  <si>
    <t>Computer Games</t>
  </si>
  <si>
    <t>https://www.ludic.games/</t>
  </si>
  <si>
    <t>Sam Yang</t>
  </si>
  <si>
    <t>Sam.Yang@ludic.games</t>
  </si>
  <si>
    <t>https://www.techinasia.com/jobs/52bcfdf3-88e9-401e-ba18-7fc59933146f</t>
  </si>
  <si>
    <t>https://www.linkedin.com/company/ludic-games/</t>
  </si>
  <si>
    <t>SensorFlow</t>
  </si>
  <si>
    <t>https://www.sensorflow.co/</t>
  </si>
  <si>
    <t>Max Pagel</t>
  </si>
  <si>
    <t>Off -+65 8110 2308</t>
  </si>
  <si>
    <t>Max@sensorflow.co</t>
  </si>
  <si>
    <t>June 14th - Cold email./June 19th - Unable to connect - 1st followup email send.</t>
  </si>
  <si>
    <t>https://www.techinasia.com/jobs/39667730-3e02-4277-a2e5-90fd2bfcb9b9</t>
  </si>
  <si>
    <t>https://www.linkedin.com/company/sensorflow/</t>
  </si>
  <si>
    <t>Lomotif</t>
  </si>
  <si>
    <t>http://lomotif.com/</t>
  </si>
  <si>
    <t>Paul Yang</t>
  </si>
  <si>
    <t>Paul@lomotif.com</t>
  </si>
  <si>
    <t>https://www.techinasia.com/jobs/61b772fc-4293-4763-8f58-77922036d2dd</t>
  </si>
  <si>
    <t>https://www.linkedin.com/company/lomotif/</t>
  </si>
  <si>
    <t>AlphaWallet</t>
  </si>
  <si>
    <t>https://awallet.io/</t>
  </si>
  <si>
    <t>Wei Wu Zhang</t>
  </si>
  <si>
    <t>Weiwu.Zhang@awallet.io</t>
  </si>
  <si>
    <t>June 14th - Cold email - Wei responded - only looking for local partnership.</t>
  </si>
  <si>
    <t>https://www.techinasia.com/jobs/88330894-1903-4098-ae58-1875bde00ddc</t>
  </si>
  <si>
    <t>https://www.linkedin.com/company/%CE%B1wallet/</t>
  </si>
  <si>
    <t>Gowild Singapore Pte Ltd</t>
  </si>
  <si>
    <t>http://www.gowild.sg</t>
  </si>
  <si>
    <t>Keng Hoe Toh</t>
  </si>
  <si>
    <t>Off - +65 66351515</t>
  </si>
  <si>
    <t>help@gowild.sg</t>
  </si>
  <si>
    <t>June 14th - Cold email./June 19th - No answer - 1st followup email send.</t>
  </si>
  <si>
    <t>https://www.techinasia.com/jobs/7a5545d5-7a38-4db8-9564-9ac94ae3e660</t>
  </si>
  <si>
    <t>https://www.linkedin.com/company/gowild-singapore-pte-ltd/?originalSubdomain=in</t>
  </si>
  <si>
    <t>France</t>
  </si>
  <si>
    <t>Harvestr</t>
  </si>
  <si>
    <t>https://harvestr.io</t>
  </si>
  <si>
    <t>Valentin Huang</t>
  </si>
  <si>
    <t>Valentin@harvestr.io</t>
  </si>
  <si>
    <t>June 14th - Cold email./June 19th - 1st followup email - Valentin responded - looking for inhouse hire.</t>
  </si>
  <si>
    <t>https://www.f6s.com/jobs/36709/harvestr/lead-developer</t>
  </si>
  <si>
    <t>https://www.linkedin.com/company/harvestr/</t>
  </si>
  <si>
    <t>Ranos - Pollution Monitoring</t>
  </si>
  <si>
    <t>Heba Jaraysi</t>
  </si>
  <si>
    <t>June 14th - Linkedin request sent.</t>
  </si>
  <si>
    <t>https://www.f6s.com/jobs/36675/antenna-detect.protect.evaluate/cto</t>
  </si>
  <si>
    <t>https://www.linkedin.com/in/heba-jaraysi-26aa3024/</t>
  </si>
  <si>
    <t>Feedeos</t>
  </si>
  <si>
    <t>http://feedeosapp.com</t>
  </si>
  <si>
    <t>Ramy Yared</t>
  </si>
  <si>
    <t>Ramy.Yared@feedeosapp.com / Ramy@feedeosapp.com</t>
  </si>
  <si>
    <t>hello@feedeosapp.com</t>
  </si>
  <si>
    <t>https://www.f6s.com/jobs/36674/feedeos/ios-ui-designer</t>
  </si>
  <si>
    <t>https://www.linkedin.com/company/feedeos/</t>
  </si>
  <si>
    <t>OnCare</t>
  </si>
  <si>
    <t>http://www.weareoncare.com</t>
  </si>
  <si>
    <t>James Broad</t>
  </si>
  <si>
    <t>James@weareoncare.com</t>
  </si>
  <si>
    <t>https://www.f6s.com/jobs/36663/oncaretechnologies/full-stack-software-engineer</t>
  </si>
  <si>
    <t>https://www.linkedin.com/company/oncaretech/</t>
  </si>
  <si>
    <t>Creatorus</t>
  </si>
  <si>
    <t>Jacob Magalhaes</t>
  </si>
  <si>
    <t>https://www.f6s.com/jobs/36662/creatorus/web-designer</t>
  </si>
  <si>
    <t>https://www.linkedin.com/in/jacob-magalhaes-7534bb60/</t>
  </si>
  <si>
    <t>Russia</t>
  </si>
  <si>
    <t>Template Robot</t>
  </si>
  <si>
    <t>https://templaterobot.co/</t>
  </si>
  <si>
    <t>Alexey Chernyshev</t>
  </si>
  <si>
    <t>https://www.f6s.com/jobs/36646/templaterobot/full-stack-developer</t>
  </si>
  <si>
    <t>https://www.linkedin.com/in/alexey-chernyshev/</t>
  </si>
  <si>
    <t>Italy</t>
  </si>
  <si>
    <t>RoomMate</t>
  </si>
  <si>
    <t>https://www.the-roommate.com/</t>
  </si>
  <si>
    <t>Matteo Bucci</t>
  </si>
  <si>
    <t>Matteo.Bucci@the-roommate.com</t>
  </si>
  <si>
    <t>June 15th - Cold email./June 19th - 1st followup email.</t>
  </si>
  <si>
    <t>https://www.f6s.com/roommatesrls/about</t>
  </si>
  <si>
    <t>https://www.linkedin.com/company/roommateapp/</t>
  </si>
  <si>
    <t>Brazil</t>
  </si>
  <si>
    <t>itStalk</t>
  </si>
  <si>
    <t>http://itstalk.me/</t>
  </si>
  <si>
    <t>Lucas Ribeiro</t>
  </si>
  <si>
    <t>Lucas.Ribeiro@itstalk.me / Lucas@itstalk.me</t>
  </si>
  <si>
    <t>mendes.ribeiros@gmail.com</t>
  </si>
  <si>
    <t>June 15th - Cold email./June 19th - 1st followup email./June 22nd - Lucas responded in Linkedin - Asked to build a system similar to https://www.brella.io/ - asked the price.</t>
  </si>
  <si>
    <t>https://www.f6s.com/jobs/36726/itstalk/developer-remote</t>
  </si>
  <si>
    <t>https://www.linkedin.com/company/itstalk/</t>
  </si>
  <si>
    <t>Greece</t>
  </si>
  <si>
    <t>HireFlows HR Solutions</t>
  </si>
  <si>
    <t>Human Resources</t>
  </si>
  <si>
    <t>https://hireflows.com/</t>
  </si>
  <si>
    <t>Olga Konstantakopoulou</t>
  </si>
  <si>
    <t>Olga@hireflows.com</t>
  </si>
  <si>
    <t>info@hireflows.com</t>
  </si>
  <si>
    <t>June 15th - Cold email./June 18th - Olga  responded - position is filled.</t>
  </si>
  <si>
    <t>https://www.f6s.com/jobs/36520/hireflowshr/web-full-stack-developer</t>
  </si>
  <si>
    <t>https://www.linkedin.com/company/hireflowshr/</t>
  </si>
  <si>
    <t>Keyp GmbH</t>
  </si>
  <si>
    <t>https://keyp.io</t>
  </si>
  <si>
    <t>Maximilian C. Moehring</t>
  </si>
  <si>
    <t>max@keyp.io / leo@keyp.io</t>
  </si>
  <si>
    <t>https://www.f6s.com/jobs/36530/keypgmbh/back-end-developer</t>
  </si>
  <si>
    <t>https://www.linkedin.com/company/keyp-gmbh/</t>
  </si>
  <si>
    <t>Jan@kopernio.com / ben@kopernio.com</t>
  </si>
  <si>
    <t>Fledglink</t>
  </si>
  <si>
    <t>https://fledglink.com</t>
  </si>
  <si>
    <t>Eleanor Yell</t>
  </si>
  <si>
    <t>Eleanor.Yell@fledglink.com / Eleanor@fledglink.com</t>
  </si>
  <si>
    <t>June 15th - Cold email.</t>
  </si>
  <si>
    <t>https://angel.co/fledglink</t>
  </si>
  <si>
    <t>https://www.linkedin.com/company/fledglink/</t>
  </si>
  <si>
    <t>Discourze</t>
  </si>
  <si>
    <t>https://token.discourze.com</t>
  </si>
  <si>
    <t>Wes Francis</t>
  </si>
  <si>
    <t>Wes.Francis@discourze.com</t>
  </si>
  <si>
    <t>westonfrancis@163.com</t>
  </si>
  <si>
    <t>June 15th - Cold email - Wes responded - Will keep in mind - He is starting a Blockchain startup soon, looking for development team.</t>
  </si>
  <si>
    <t>https://angel.co/discourze</t>
  </si>
  <si>
    <t>https://www.linkedin.com/company/discourze/</t>
  </si>
  <si>
    <t>Futways</t>
  </si>
  <si>
    <t>http://www.futways.com</t>
  </si>
  <si>
    <t>Luis Valdes</t>
  </si>
  <si>
    <t>Off - +1 347-698-3106</t>
  </si>
  <si>
    <t>Luis.Valdes@futways.com / Luis@futways.com</t>
  </si>
  <si>
    <t>info@futways.com</t>
  </si>
  <si>
    <t>https://angel.co/futways</t>
  </si>
  <si>
    <t>https://www.linkedin.com/company/futways/</t>
  </si>
  <si>
    <t>Golf Hub</t>
  </si>
  <si>
    <t>Jonathan Tsoi</t>
  </si>
  <si>
    <t>igolfhub@gmail.com</t>
  </si>
  <si>
    <t>https://angel.co/golf-hub</t>
  </si>
  <si>
    <t>OAK Eco Technologies</t>
  </si>
  <si>
    <t>Amil Moskalenko</t>
  </si>
  <si>
    <t>June 15th - Linkedin request sent.</t>
  </si>
  <si>
    <t>https://angel.co/oak-eco-technologies</t>
  </si>
  <si>
    <t>https://www.linkedin.com/in/amil-moskalenko-b38297164/</t>
  </si>
  <si>
    <t>Influencerz.io</t>
  </si>
  <si>
    <t>Influencer Marketing</t>
  </si>
  <si>
    <t>http://influencerz.io/</t>
  </si>
  <si>
    <t>Nicolas Vrc</t>
  </si>
  <si>
    <t>nicolas@influencerz.io</t>
  </si>
  <si>
    <t>https://angel.co/influencerz-io/jobs/379016-react-web-developer</t>
  </si>
  <si>
    <t>nevaal</t>
  </si>
  <si>
    <t>http://nevaal.com/</t>
  </si>
  <si>
    <t>Corvin Porten</t>
  </si>
  <si>
    <t>Corvin.Porten@nevaal.com</t>
  </si>
  <si>
    <t>info@nevaal.com</t>
  </si>
  <si>
    <t>https://angel.co/nevaal</t>
  </si>
  <si>
    <t>https://www.linkedin.com/company/nevaal/</t>
  </si>
  <si>
    <t>DEXTCLOUD</t>
  </si>
  <si>
    <t>http://www.dextcloud.com/</t>
  </si>
  <si>
    <t>Manish Sharma</t>
  </si>
  <si>
    <t>Manish@dextcloud.com</t>
  </si>
  <si>
    <t>info@dextcloud.com</t>
  </si>
  <si>
    <t>https://angel.co/dextcloud</t>
  </si>
  <si>
    <t>https://www.linkedin.com/in/manishdmsdigital/detail/contact-info/</t>
  </si>
  <si>
    <t>InProved Energy and Resource</t>
  </si>
  <si>
    <t>Investment Banking</t>
  </si>
  <si>
    <t>http://www.inproved.com/</t>
  </si>
  <si>
    <t>Huan Johnson Koh</t>
  </si>
  <si>
    <t>johnsonkoh@inproved.com</t>
  </si>
  <si>
    <t>June 18th - Cold email - Responded via Linkedin - Asked for company profile and Blockchain expertise./June 19th - Blockchain portfolio shared - Asked to brief the Accnting system -  Asked for technology &amp; platform./July 11th - Followed up with Johnson - Johnson asked help with White Papers.</t>
  </si>
  <si>
    <t>http://startupjobs.asia/job/38845-rest-api-and-web-developer-it-inproved-singapore</t>
  </si>
  <si>
    <t>https://www.linkedin.com/in/johnsonhuanfongkoh/</t>
  </si>
  <si>
    <t>PassKit</t>
  </si>
  <si>
    <t>https://passkit.com</t>
  </si>
  <si>
    <t>Nick Murray</t>
  </si>
  <si>
    <t>nickmurray@passkit.com / nick@passkit.com</t>
  </si>
  <si>
    <t>support@passkit.com</t>
  </si>
  <si>
    <t>June 18th - Cold email.</t>
  </si>
  <si>
    <t>http://startupjobs.asia/job/38626-frontend-developer-junior-applications-welcome-front-end-developers-passkit-hong-kong</t>
  </si>
  <si>
    <t>https://www.linkedin.com/company/passkit/</t>
  </si>
  <si>
    <t>SNSoft Sdn Bhd</t>
  </si>
  <si>
    <t>http://snsoft.my/</t>
  </si>
  <si>
    <t>Jessye Kong</t>
  </si>
  <si>
    <t>Off - 017-6347732(Jessy) / +6014 930 9971(Chargd)</t>
  </si>
  <si>
    <t>jessyekong@snsoft.my</t>
  </si>
  <si>
    <t>alfredtee@snsoft.my</t>
  </si>
  <si>
    <t>June 18th - Unable to connect - Cold email./June 19th - No unable to reach./June 21st - unable to reach - 1st followup email - Auto reply - Alfred left the company - new intro email send to Jessy.</t>
  </si>
  <si>
    <t>http://startupjobs.asia/job/38782-php-developer-it-snsoft-sdn-bhd-malaysia</t>
  </si>
  <si>
    <t>https://www.linkedin.com/in/alfred-tee-294232104/?locale=de_DE</t>
  </si>
  <si>
    <t>Plato Medical</t>
  </si>
  <si>
    <t>https://platomedical.com/</t>
  </si>
  <si>
    <t>Remi Kanji</t>
  </si>
  <si>
    <t>Off - +65 3163 1193</t>
  </si>
  <si>
    <t>Remi.Kanji@platomedical.com / Remi@platomedical.com</t>
  </si>
  <si>
    <t>June 18th - Contact no reaches  support team - Cold email.</t>
  </si>
  <si>
    <t>http://startupjobs.asia/job/38753-fullstack-developer-it-plato-medical-singapore</t>
  </si>
  <si>
    <t>https://www.linkedin.com/company/plato-medical/</t>
  </si>
  <si>
    <t>ContactsDaily</t>
  </si>
  <si>
    <t>https://www.contactsdaily.com</t>
  </si>
  <si>
    <t>Adrian Neo</t>
  </si>
  <si>
    <t>Adrian@contactsdaily.com</t>
  </si>
  <si>
    <t>help@contactsdaily.com</t>
  </si>
  <si>
    <t>http://startupjobs.asia/job/38729-full-stack-angular-react-nodejs-developers-wanted-for-temp-freelance-work-x2-full-stack-developer-contactsdaily-singapore</t>
  </si>
  <si>
    <t>https://www.linkedin.com/in/adrian-neo-649b1683/</t>
  </si>
  <si>
    <t>FOMO Pay</t>
  </si>
  <si>
    <t>https://www.fomopay.com/</t>
  </si>
  <si>
    <t>Zhan Yang</t>
  </si>
  <si>
    <t>Off - +65 67158451</t>
  </si>
  <si>
    <t>zhan.yang@fomopay.com</t>
  </si>
  <si>
    <t>sales@fomopay.com</t>
  </si>
  <si>
    <t>June 18th - No answer - Cold email./June 19th - Zhan accepted the linkedin request./June 21st - unable to connect 1st followup email./June 22nd - Unable to connect.</t>
  </si>
  <si>
    <t>https://www.techinasia.com/jobs/1d0be535-8c36-40b9-a4a1-aafc5b924488</t>
  </si>
  <si>
    <t>https://www.linkedin.com/company/fomo-pay-pte.-ltd./</t>
  </si>
  <si>
    <t>Industrial Electronics Pte Ltd</t>
  </si>
  <si>
    <t>http://www.ie-pl.com</t>
  </si>
  <si>
    <t>Winson</t>
  </si>
  <si>
    <t>Off -  +65 6744 6873</t>
  </si>
  <si>
    <t>patrick@targa.com / winson@ie-pl.com</t>
  </si>
  <si>
    <t>IndustrialElectronics1986@gmail.com</t>
  </si>
  <si>
    <t>June 18th - Called - Manger went out - call again in 20 mins @ 1.45PM - Spoke with Winson - Asked to write email - Intro email sent./June 21st - Winson - fwded the mail to Patrick - hong kong team - they will contact via email - response will be bit slow - positive response from Winson.</t>
  </si>
  <si>
    <t>https://www.techinasia.com/jobs/7d14459c-ebae-417b-ae57-ba655d11b58f</t>
  </si>
  <si>
    <t>Maple Intelligence</t>
  </si>
  <si>
    <t>http://www.maple.ai</t>
  </si>
  <si>
    <t>S W J Park</t>
  </si>
  <si>
    <t>enquiries@maple.ai</t>
  </si>
  <si>
    <t>https://www.techinasia.com/jobs/ee3bad50-fbd1-4650-8ae8-a4629cbdcd20</t>
  </si>
  <si>
    <t>https://www.linkedin.com/company/maple.ai/</t>
  </si>
  <si>
    <t>Seedly</t>
  </si>
  <si>
    <t>https://seedly.sg</t>
  </si>
  <si>
    <t>Tee-Ming Chew</t>
  </si>
  <si>
    <t>Tee.Chew@seedly.sg</t>
  </si>
  <si>
    <t>mingfeng@seedly.sg / support@seedly.sg</t>
  </si>
  <si>
    <t>https://www.techinasia.com/jobs/eb8e5816-2b1c-4472-a2be-70c843e321aa</t>
  </si>
  <si>
    <t>https://www.linkedin.com/company/seedly/</t>
  </si>
  <si>
    <t>Alphien SAS</t>
  </si>
  <si>
    <t>https://www.alphien.com/</t>
  </si>
  <si>
    <t>Maxime Fages</t>
  </si>
  <si>
    <t>Maxime@alphien.com</t>
  </si>
  <si>
    <t>https://www.techinasia.com/jobs/52cf73a2-810b-4772-a024-716247bd483b</t>
  </si>
  <si>
    <t>https://www.linkedin.com/company/alphien-pte-ltd/</t>
  </si>
  <si>
    <t>Four Elements Capital Pte Ltd</t>
  </si>
  <si>
    <t>https://www.fourelementscapital.com</t>
  </si>
  <si>
    <t>Lionel Semonin</t>
  </si>
  <si>
    <t>Off - +65 6557 0578</t>
  </si>
  <si>
    <t>Lionel.Semonin@fourelementscapital.com</t>
  </si>
  <si>
    <t>info@4ecap.com</t>
  </si>
  <si>
    <t>June 18th - Cold email./June 19th - no proper response./June 21st - 1st followup email.</t>
  </si>
  <si>
    <t>https://www.techinasia.com/jobs/16268b5c-2358-4be3-804e-c7ea120f2b15</t>
  </si>
  <si>
    <t>https://www.linkedin.com/company/four-elements-capital-pte-ltd/?originalSubdomain=ph</t>
  </si>
  <si>
    <t>Zynesis</t>
  </si>
  <si>
    <t>https://zynesis.com/</t>
  </si>
  <si>
    <t>U-Zyn Chua</t>
  </si>
  <si>
    <t>Off - +65 9831 8407</t>
  </si>
  <si>
    <t>UZyn@zynesis.com</t>
  </si>
  <si>
    <t>collab@zynesis.com</t>
  </si>
  <si>
    <t>June 18th - Cold email./June 19th - currently unavailable./June 21st - currently unavailable.</t>
  </si>
  <si>
    <t>https://www.techinasia.com/jobs/2f8ec2b5-fd7d-4b9e-b84b-481d1206ee7f</t>
  </si>
  <si>
    <t>https://www.linkedin.com/company/zynesis-consulting/</t>
  </si>
  <si>
    <t>Want Things Done</t>
  </si>
  <si>
    <t>https://wantthingsdone.com/</t>
  </si>
  <si>
    <t>Christina Teo</t>
  </si>
  <si>
    <t>chris@wantthingsdone.com</t>
  </si>
  <si>
    <t>hello@wantthingsdone.com</t>
  </si>
  <si>
    <t>https://www.techinasia.com/jobs/63dbfc14-47af-47f4-bccc-6d439fd6b0ab</t>
  </si>
  <si>
    <t>https://www.linkedin.com/company/want-things-done/</t>
  </si>
  <si>
    <t>SendForensics</t>
  </si>
  <si>
    <t>https://www.sendforensics.com</t>
  </si>
  <si>
    <t>Alan John</t>
  </si>
  <si>
    <t>Off - +65 6509 0845</t>
  </si>
  <si>
    <t>Alan.John@sendforensics.com</t>
  </si>
  <si>
    <t>June 18th - Cold email./june 19th - Spoke with Anida - Alan not in office - followup email./June 21st - Alan not interested.</t>
  </si>
  <si>
    <t>https://www.techinasia.com/jobs/d4c1bd49-152a-4c20-ba6d-77f676feb565/</t>
  </si>
  <si>
    <t>https://www.linkedin.com/company/sendforensics/</t>
  </si>
  <si>
    <t>Sweden</t>
  </si>
  <si>
    <t>Bookster AB</t>
  </si>
  <si>
    <t>Alexander Ulander</t>
  </si>
  <si>
    <t>June 18th - Linkedin request sent - accepted the skype invite - asked question.</t>
  </si>
  <si>
    <t>https://www.f6s.com/jobs/36770/booksterab/co-founder-and-back-end-developer-wanted</t>
  </si>
  <si>
    <t>https://www.linkedin.com/in/alexanderulander/</t>
  </si>
  <si>
    <t>LetMePark</t>
  </si>
  <si>
    <t>https://www.letmeparkparking.es/</t>
  </si>
  <si>
    <t>Uliana Torkunova</t>
  </si>
  <si>
    <t>Off - +34 610 60 02 30(no doesn't exist) / +34600369336(call chargd heavily)</t>
  </si>
  <si>
    <t>info@letmeparkparking.es</t>
  </si>
  <si>
    <t>June 18th - Cold email./June 21st - Unable to reach - 1st followup email./June 22nd - Received Watsapp call from  +34600369336(call chargd heavily) - Tried to reach in Watsapp - call disconnected.</t>
  </si>
  <si>
    <t>https://www.f6s.com/jobs/36764/letmepark.es/backend-app-developer</t>
  </si>
  <si>
    <t>https://www.linkedin.com/company/letmepark/</t>
  </si>
  <si>
    <t>Castella</t>
  </si>
  <si>
    <t>http://www.castella.art/</t>
  </si>
  <si>
    <t>Evelyn H. Xy</t>
  </si>
  <si>
    <t>June 18th - Linkedin request sent.</t>
  </si>
  <si>
    <t>https://angel.co/castella</t>
  </si>
  <si>
    <t>https://www.linkedin.com/company/castella-art/</t>
  </si>
  <si>
    <t>Vypno</t>
  </si>
  <si>
    <t>Industrial Automation</t>
  </si>
  <si>
    <t>https://www.vypno.com/</t>
  </si>
  <si>
    <t>Maximilian Jakasovic</t>
  </si>
  <si>
    <t>Off - +49 175 1141726 (call chargd heavily)</t>
  </si>
  <si>
    <t>Maximilian.Jakasovic@vypno.com</t>
  </si>
  <si>
    <t xml:space="preserve">contact@vypno.com </t>
  </si>
  <si>
    <t>June 18th - Cold email./June 19th - No answer./June 21st - No answer - 1st followup email.</t>
  </si>
  <si>
    <t>https://angel.co/vypno/</t>
  </si>
  <si>
    <t>https://www.linkedin.com/company/vypno/</t>
  </si>
  <si>
    <t>Digit Agency</t>
  </si>
  <si>
    <t>https://digit.agency/</t>
  </si>
  <si>
    <t>Pradeep Singh</t>
  </si>
  <si>
    <t>https://angel.co/digitagency</t>
  </si>
  <si>
    <t>https://www.linkedin.com/in/pradeepdotco/</t>
  </si>
  <si>
    <t>Vesto - Save &amp; Invest Together</t>
  </si>
  <si>
    <t>Investment Management</t>
  </si>
  <si>
    <t>https://vesto.me</t>
  </si>
  <si>
    <t>Andre Cacador</t>
  </si>
  <si>
    <t>Off - +34658037821(call charged heavily)</t>
  </si>
  <si>
    <t>Andre.Cacador@vesto.me / Andre@vesto.me</t>
  </si>
  <si>
    <t>hello@vesto.me</t>
  </si>
  <si>
    <t>June 18th - Cold email./June 19th - No answer.</t>
  </si>
  <si>
    <t>https://angel.co/vesto</t>
  </si>
  <si>
    <t>https://www.linkedin.com/company/vestoapp/</t>
  </si>
  <si>
    <t>Teeb TV</t>
  </si>
  <si>
    <t>http://www.teebtv.com</t>
  </si>
  <si>
    <t>Fauzi azam yahaya Ishak</t>
  </si>
  <si>
    <t>Off - + 603 2095 6530</t>
  </si>
  <si>
    <t>main@teebtv.com</t>
  </si>
  <si>
    <t>June 19th - Cold email./June 21st - Fauzi is in meeting - Call later.</t>
  </si>
  <si>
    <t>https://www.techinasia.com/jobs/1d7df80d-7c1b-4407-8120-0c83fc014baa</t>
  </si>
  <si>
    <t>https://www.linkedin.com/company/teebtv/</t>
  </si>
  <si>
    <t>The Hour Glass Ltd</t>
  </si>
  <si>
    <t>http://www.thehourglass.com/</t>
  </si>
  <si>
    <t>Off - +65 6787 2288</t>
  </si>
  <si>
    <t>facebook@thehourglass.com</t>
  </si>
  <si>
    <t>June 19th - Cold email./June 21st - Unable to reach the right guy.</t>
  </si>
  <si>
    <t>https://www.techinasia.com/jobs/df5484c9-6c8c-47aa-916c-6beb8bcbba4d</t>
  </si>
  <si>
    <t>Mightcast Pte Ltd</t>
  </si>
  <si>
    <t>Broadcast Media</t>
  </si>
  <si>
    <t>http://www.mightcast.com</t>
  </si>
  <si>
    <t>Amie Hu</t>
  </si>
  <si>
    <t>Off - +65 69881280 / +6590106069(M)</t>
  </si>
  <si>
    <t>AmieHu@mightcast.com</t>
  </si>
  <si>
    <t>hello@mightcast.com</t>
  </si>
  <si>
    <t>amiehu@seafrontmedia.com</t>
  </si>
  <si>
    <t>June 19th - Cold email./June 21st - Spoke with Winnie - Informed the purpose - 1st followup email./June 22nd - Amie responded - need sg developers -tried to reach her Mobile &amp; off no - no answer - replied the email - tried again Mob &amp; Off - No answer.</t>
  </si>
  <si>
    <t>https://www.techinasia.com/jobs/8022cef0-de93-4b45-ae9f-14c31bffc5dd</t>
  </si>
  <si>
    <t>https://www.linkedin.com/company/mightcast/</t>
  </si>
  <si>
    <t>Colombia</t>
  </si>
  <si>
    <t>Tribo</t>
  </si>
  <si>
    <t>Consumer Goods</t>
  </si>
  <si>
    <t>http://www.tribo.io/</t>
  </si>
  <si>
    <t>Maria Andrea Gonzalez</t>
  </si>
  <si>
    <t>andrea@tribo.io</t>
  </si>
  <si>
    <t>June 19th - Cold email.</t>
  </si>
  <si>
    <t>https://www.f6s.com/jobs/36782/tribo/ios-front-end-developer</t>
  </si>
  <si>
    <t>https://www.linkedin.com/company/triborecommends/</t>
  </si>
  <si>
    <t>Parade</t>
  </si>
  <si>
    <t>http://www.pre-launch-website.com/</t>
  </si>
  <si>
    <t>Craig Smith</t>
  </si>
  <si>
    <t>https://angel.co/parade-3/jobs/380911-senior-developer</t>
  </si>
  <si>
    <t>https://www.linkedin.com/in/craig-smith-31aa7922/</t>
  </si>
  <si>
    <t>ATELIER &amp; AVENUE</t>
  </si>
  <si>
    <t>Management Consulting</t>
  </si>
  <si>
    <t>https://www.atelierandavenue.com/</t>
  </si>
  <si>
    <t>Alessio Bravi</t>
  </si>
  <si>
    <t>Alessio.Bravi@atelierandavenue.com</t>
  </si>
  <si>
    <t>https://angel.co/atelier-avenue-1</t>
  </si>
  <si>
    <t>https://www.linkedin.com/company/atelier-&amp;-avenue/</t>
  </si>
  <si>
    <t>Dublin</t>
  </si>
  <si>
    <t>Calt Dynamics</t>
  </si>
  <si>
    <t>http://www.caltdynamics.com/</t>
  </si>
  <si>
    <t>Ross Lawless</t>
  </si>
  <si>
    <t>Off - 00353862577039</t>
  </si>
  <si>
    <t>RossLawless@caltdynamics.com</t>
  </si>
  <si>
    <t>Info@caltdynamics.com</t>
  </si>
  <si>
    <t>June 19th - Cold email./June 21st - No answer - 1st followup email.</t>
  </si>
  <si>
    <t>https://angel.co/calt-dynamics</t>
  </si>
  <si>
    <t>https://www.linkedin.com/company/calt-dynamics/</t>
  </si>
  <si>
    <t>Appvia</t>
  </si>
  <si>
    <t>https://appvia.io/</t>
  </si>
  <si>
    <t>Jay Keshur</t>
  </si>
  <si>
    <t>Jay.Keshur@appvia.io</t>
  </si>
  <si>
    <t>info@appvia.io</t>
  </si>
  <si>
    <t>https://angel.co/appvia</t>
  </si>
  <si>
    <t>https://www.linkedin.com/company/appvia/</t>
  </si>
  <si>
    <t>Ultimate Boxxer</t>
  </si>
  <si>
    <t>https://ultimateboxxer.com/</t>
  </si>
  <si>
    <t>Louis Wright</t>
  </si>
  <si>
    <t>Louis.Wright@ultimateboxxer.com / Louis@ultimateboxxer.com</t>
  </si>
  <si>
    <t>info@ultimateboxxer.com</t>
  </si>
  <si>
    <t>https://angel.co/ultimate-boxxer-1</t>
  </si>
  <si>
    <t>https://www.linkedin.com/company/ultimateboxxer/</t>
  </si>
  <si>
    <t>CRIPT</t>
  </si>
  <si>
    <t>https://buildpathcript.wordpress.com/</t>
  </si>
  <si>
    <t>Alireza Bagheri</t>
  </si>
  <si>
    <t>alireza.bagheri@buildpath.co.uk</t>
  </si>
  <si>
    <t>Skype - alireza-bagheri</t>
  </si>
  <si>
    <t>June 19th - Cold email./June 25th - Linkedin invite accepted./June 26th - Asked to write via email.</t>
  </si>
  <si>
    <t>https://angel.co/cript</t>
  </si>
  <si>
    <t>https://www.linkedin.com/company/cript-limited/</t>
  </si>
  <si>
    <t>PayrollPanda</t>
  </si>
  <si>
    <t>https://www.payrollpanda.my/</t>
  </si>
  <si>
    <t>Toine Vaessen</t>
  </si>
  <si>
    <t>Off - +60 3 2787 9168</t>
  </si>
  <si>
    <t>Toine@payrollpanda.my</t>
  </si>
  <si>
    <t>admin@payrollpanda.my</t>
  </si>
  <si>
    <t>June 21st - Cold email - Toine not around - call tomorrow.</t>
  </si>
  <si>
    <t>https://remote.co/job/web-developer-9/</t>
  </si>
  <si>
    <t>https://www.linkedin.com/company/payroll-panda/</t>
  </si>
  <si>
    <t>Loca Asia Sdn Bhd</t>
  </si>
  <si>
    <t>VJong Cheang</t>
  </si>
  <si>
    <t>Off - +603-9205 5200</t>
  </si>
  <si>
    <t>jacky@esa.my</t>
  </si>
  <si>
    <t>June 21st - Linkedin request sent - Spoke with gatekeeper - asked to email Jacky(development head).</t>
  </si>
  <si>
    <t>http://startupjobs.asia/job/38921-web-developer-it-loca-asia-sdn-bhd-malaysia</t>
  </si>
  <si>
    <t>https://www.linkedin.com/in/vjong-cheang-4b149284/</t>
  </si>
  <si>
    <t>Doctor Anywhere</t>
  </si>
  <si>
    <t>Hospital &amp; Health Care</t>
  </si>
  <si>
    <t>https://www.doctoranywhere.com</t>
  </si>
  <si>
    <t>Rishik Bahri</t>
  </si>
  <si>
    <t>Off - (+65) 6591 8668</t>
  </si>
  <si>
    <t>Rishik@doctoranywhere.com</t>
  </si>
  <si>
    <t>rishikbahri_1@yahoo.com</t>
  </si>
  <si>
    <t>June 21st - Linkedin msg - Called - no answer.</t>
  </si>
  <si>
    <t>https://www.techinasia.com/jobs/6966ce4b-2b10-41e4-beb6-1dfa4ff7fd26</t>
  </si>
  <si>
    <t>https://www.linkedin.com/company/doctor-anywhere-pte-ltd/</t>
  </si>
  <si>
    <t>Cudy Pte. Ltd</t>
  </si>
  <si>
    <t>https://www.cudy.co/</t>
  </si>
  <si>
    <t>Alexander Lim</t>
  </si>
  <si>
    <t>Alexander.Lim@cudy.co / Alexander@cudy.co</t>
  </si>
  <si>
    <t>hello@cudy.co</t>
  </si>
  <si>
    <t>June 21st - Cold email.</t>
  </si>
  <si>
    <t>https://www.techinasia.com/jobs/f9701907-dca6-4117-b093-f8a02c1ed96c</t>
  </si>
  <si>
    <t>https://www.linkedin.com/company/cudy/</t>
  </si>
  <si>
    <t>Liane</t>
  </si>
  <si>
    <t>Individual &amp; Family Services</t>
  </si>
  <si>
    <t>https://myliane.com/</t>
  </si>
  <si>
    <t>Anna Benini</t>
  </si>
  <si>
    <t>Off - +39 3425065272 / +39 3275549513(M)</t>
  </si>
  <si>
    <t>beninianna77@gmail.com</t>
  </si>
  <si>
    <t>info@myliane.com</t>
  </si>
  <si>
    <t>June 21st - Cold email - Benini responded - will contact if interested.</t>
  </si>
  <si>
    <t>https://www.f6s.com/jobs/36817/lianesrl/cto</t>
  </si>
  <si>
    <t>https://www.linkedin.com/company/lianeapp/</t>
  </si>
  <si>
    <t>Mucho by The Cook-In Company Limited</t>
  </si>
  <si>
    <t>Food &amp; Beverages</t>
  </si>
  <si>
    <t>https://www.getmucho.com</t>
  </si>
  <si>
    <t>Michael Groves</t>
  </si>
  <si>
    <t>MICHAEL@getmucho.com</t>
  </si>
  <si>
    <t>hi@getmucho.com</t>
  </si>
  <si>
    <t>https://www.f6s.com/jobs/36815/muchobycook-incompanylimited/full-stack-developer</t>
  </si>
  <si>
    <t>https://www.linkedin.com/company/getmucho/</t>
  </si>
  <si>
    <t>Märt Aro</t>
  </si>
  <si>
    <t>June 21st - Linkedin request sent.</t>
  </si>
  <si>
    <t>https://www.f6s.com/jobs/36813/rinascimente/education-app-developer-product-manager</t>
  </si>
  <si>
    <t>https://www.linkedin.com/in/m%C3%A4rt-aro-9703086/</t>
  </si>
  <si>
    <t>Mobly</t>
  </si>
  <si>
    <t>Nickolas Jonathon Sternberg-Heyze</t>
  </si>
  <si>
    <t>https://angel.co/mobly-1</t>
  </si>
  <si>
    <t>https://www.linkedin.com/in/nickolasheyze-profile/</t>
  </si>
  <si>
    <t>Barcelona</t>
  </si>
  <si>
    <t>Elementus</t>
  </si>
  <si>
    <t>https://www.elementus.io</t>
  </si>
  <si>
    <t>Max Galka</t>
  </si>
  <si>
    <t>Max@elementus.io</t>
  </si>
  <si>
    <t>hello@elementus.io</t>
  </si>
  <si>
    <t>https://angel.co/elementus/jobs/381833-full-stack-developer</t>
  </si>
  <si>
    <t>https://www.linkedin.com/company/elementus.io/</t>
  </si>
  <si>
    <t>Capexmove</t>
  </si>
  <si>
    <t>Capital Markets</t>
  </si>
  <si>
    <t>http://www.capexmove.io</t>
  </si>
  <si>
    <t>Dario Scarcella</t>
  </si>
  <si>
    <t>Dario.Scarcella@capexmove.io</t>
  </si>
  <si>
    <t xml:space="preserve">hello@capexmove.io
</t>
  </si>
  <si>
    <t>https://angel.co/capexmove</t>
  </si>
  <si>
    <t>https://www.linkedin.com/company/capexmove/</t>
  </si>
  <si>
    <t>Sopinet Software</t>
  </si>
  <si>
    <t>https://sopinet.com/</t>
  </si>
  <si>
    <t>Fernando Hidalgo</t>
  </si>
  <si>
    <t>Off - +34 900831133</t>
  </si>
  <si>
    <t>Fernando@sopinet.com</t>
  </si>
  <si>
    <t>info@sopinet.com</t>
  </si>
  <si>
    <t>June 21st - Cold email - Accepted the linkedin invite.</t>
  </si>
  <si>
    <t>https://angel.co/sopinet-1</t>
  </si>
  <si>
    <t>https://www.linkedin.com/company/sopinet/</t>
  </si>
  <si>
    <t>Berlin</t>
  </si>
  <si>
    <t>KIProtect</t>
  </si>
  <si>
    <t>https://kiprotect.com</t>
  </si>
  <si>
    <t>Katharine Jarmul</t>
  </si>
  <si>
    <t>https://angel.co/kiprotect</t>
  </si>
  <si>
    <t>https://www.linkedin.com/company/kiprotect/</t>
  </si>
  <si>
    <t>http://manjalabs.com</t>
  </si>
  <si>
    <t>Jeremy Lim</t>
  </si>
  <si>
    <t>Off - +65 6363 5133</t>
  </si>
  <si>
    <t xml:space="preserve">jeremylim@manjalabs.com </t>
  </si>
  <si>
    <t>enquiries@manjalabs.com</t>
  </si>
  <si>
    <t>June 21st - Cold email./June 22nd - wrong number.</t>
  </si>
  <si>
    <t>http://startupjobs.asia/job/38568-senior-data-scientist-machine-learning-manja-technologies-pte-ltd-singapore</t>
  </si>
  <si>
    <t>alt HR</t>
  </si>
  <si>
    <t>https://althr.co</t>
  </si>
  <si>
    <t>support@alt.hr</t>
  </si>
  <si>
    <t>http://startupjobs.asia/job/38933-software-engineer-full-stack-developer-alt-hr-malaysia</t>
  </si>
  <si>
    <t>Tourego Pte Ltd</t>
  </si>
  <si>
    <t>https://www.tourego.com</t>
  </si>
  <si>
    <t>Roland Wee</t>
  </si>
  <si>
    <t>Off - +65 6909 2409</t>
  </si>
  <si>
    <t>Roland.Wee@tourego.com / Roland@tourego.com</t>
  </si>
  <si>
    <t>hello@tourego.com</t>
  </si>
  <si>
    <t>June 21st - Cold email./June 22nd - Not interested.</t>
  </si>
  <si>
    <t>https://www.techinasia.com/jobs/7b1521c5-2f7c-4058-ab67-a3fa9d324f42</t>
  </si>
  <si>
    <t>https://www.linkedin.com/company/tourego-pte-ltd/</t>
  </si>
  <si>
    <t>Grab Haulier Sdn Bhd</t>
  </si>
  <si>
    <t>http://grabhaulier.business.site/</t>
  </si>
  <si>
    <t>Karen Fairclough-Ng</t>
  </si>
  <si>
    <t>Off - +60 3-5613 3833 / +60122380452(Karen Home no - got from Linkedin)</t>
  </si>
  <si>
    <t>Karen.Fairclough-Ng@grabhaulier.com</t>
  </si>
  <si>
    <t>karen.m.ng@gmail.com</t>
  </si>
  <si>
    <t>Skype - karenng01</t>
  </si>
  <si>
    <t>June 21st - Linkedin request sent./June 22nd - Spk with Karen - She is rushing for a meeting - call back in 2 hrs @ 3PM IST - Spk with Karen - Psoitive response - They want someone to built a system - Huge project - Asked for the portfolio.</t>
  </si>
  <si>
    <t>https://www.techinasia.com/jobs/2c24be74-f2a4-49be-be6f-0da8aee97c80</t>
  </si>
  <si>
    <t>https://www.linkedin.com/in/karen-fairclough-ng-0b874a12/</t>
  </si>
  <si>
    <t>ThinkCol Limited</t>
  </si>
  <si>
    <t>Information Technology and Services</t>
  </si>
  <si>
    <t>http://www.thinkcol.com</t>
  </si>
  <si>
    <t>Kane Wu</t>
  </si>
  <si>
    <t>Off - +852 3705 1019</t>
  </si>
  <si>
    <t>kane.wu@thinkcol.com</t>
  </si>
  <si>
    <t>Sam Ho</t>
  </si>
  <si>
    <t>sam.ho@thinkcol.com</t>
  </si>
  <si>
    <t>July 17th - Spoke with Kelvin - Asked to contact Kane &amp; Sam./July 18th - Spoke with Kane - He gave a contact for ML.</t>
  </si>
  <si>
    <t>http://startupjobs.asia/job/39407-intern-ux-designer-graphic-designer-ui-ux-thinkcol-hong-kong</t>
  </si>
  <si>
    <t>https://www.linkedin.com/company/thinkcol-limited/</t>
  </si>
  <si>
    <t>The2uo</t>
  </si>
  <si>
    <t>https://the2uo.com</t>
  </si>
  <si>
    <t>Benjamin Koh Jinwei</t>
  </si>
  <si>
    <t>Off - +65 98774490</t>
  </si>
  <si>
    <t>kkoh.jinwei@gmail.com</t>
  </si>
  <si>
    <t>July 17th - Unable to connect - Linkedin request sent./July 18th - Spoke with Benjamin - Asked to drop the company details.</t>
  </si>
  <si>
    <t>http://startupjobs.asia/job/39375-chief-technology-officer-ui-ux-the2uo-singapore</t>
  </si>
  <si>
    <t>https://www.linkedin.com/company/the2uo/</t>
  </si>
  <si>
    <t>Appzilo</t>
  </si>
  <si>
    <t>http://www.appzilo.com/</t>
  </si>
  <si>
    <t>Patrick Ooi</t>
  </si>
  <si>
    <t>Patrick.Ooi@appzilo.com / Patrick@appzilo.com</t>
  </si>
  <si>
    <t>July 17th - Linkedin request sent./July 19th - 1st followup email.</t>
  </si>
  <si>
    <t>http://startupjobs.asia/job/39195-android-mobile-developer-ui-ux-appzilo-malaysia</t>
  </si>
  <si>
    <t>https://www.linkedin.com/in/patrickooi/</t>
  </si>
  <si>
    <t>Encore Med Sdn Bhd</t>
  </si>
  <si>
    <t>http://www.encoremed.io</t>
  </si>
  <si>
    <t>Tzyy Jiun Tai</t>
  </si>
  <si>
    <t>July 17th - Linkedin request sent.</t>
  </si>
  <si>
    <t>http://startupjobs.asia/job/38043-ui-ux-designer-cum-project-manager-ui-ux-encore-med-sdn-bhd-malaysia</t>
  </si>
  <si>
    <t>https://www.linkedin.com/in/dr-tzyy-jiun-tai-717a7a15b/</t>
  </si>
  <si>
    <t>Eunoia</t>
  </si>
  <si>
    <t>http://www.eunoia.asia/</t>
  </si>
  <si>
    <t>Zwee Wee</t>
  </si>
  <si>
    <t>Off - +65 6534 8186</t>
  </si>
  <si>
    <t>Zwee@eunoia.asia</t>
  </si>
  <si>
    <t>sales@eunoia.asia</t>
  </si>
  <si>
    <t>July 17th - Cold email./July 18th - Spoke with gatekeeper - They have hired the Designer.</t>
  </si>
  <si>
    <t>http://startupjobs.asia/job/37845-ui-ux-designer-ui-ux-eunoia-pte-ltd-singapore</t>
  </si>
  <si>
    <t>https://www.linkedin.com/company/eunoiaasia/</t>
  </si>
  <si>
    <t>Pandorabox Malaysia</t>
  </si>
  <si>
    <t>https://pandorabox.com.my</t>
  </si>
  <si>
    <t>Tyler Yew</t>
  </si>
  <si>
    <t>Off - +6019-5208881</t>
  </si>
  <si>
    <t>Tyler@pandorabox.com.my</t>
  </si>
  <si>
    <t>July 17th - Cold email./July 18th - Spoke with gatekeeper - Tyler is not in town - China - Will be back next week.</t>
  </si>
  <si>
    <t>http://startupjobs.asia/job/37332-technical-co-founder-pandorabox-ui-ux-pandorabox-malaysia-malaysia</t>
  </si>
  <si>
    <t>https://www.linkedin.com/company/pandorabox-ecommerce-sdn-bhd/</t>
  </si>
  <si>
    <t>Accela Pte Ltd</t>
  </si>
  <si>
    <t>https://accela.asia</t>
  </si>
  <si>
    <t>Erin Padilla</t>
  </si>
  <si>
    <t>Off - +65 8518 8522</t>
  </si>
  <si>
    <t>erin@accela.asia</t>
  </si>
  <si>
    <t>hello@accela.asia</t>
  </si>
  <si>
    <t>July 17th - Cold email./July 18th -- Spoke with Justin - they are hiring javascript for their client.</t>
  </si>
  <si>
    <t>http://startupjobs.asia/job/39391-senior-javascript-developer-full-stack-developer-accela-pte-ltd-singapore</t>
  </si>
  <si>
    <t>https://www.linkedin.com/company/accela/</t>
  </si>
  <si>
    <t>MyBump Media Sdn Bhd</t>
  </si>
  <si>
    <t>https://mybump.my/</t>
  </si>
  <si>
    <t>Dhanish A</t>
  </si>
  <si>
    <t>Off - +60 3-7660 6434</t>
  </si>
  <si>
    <t>Dhanish@mybump.my / Karam@mybump.my</t>
  </si>
  <si>
    <t>support@mybump.my</t>
  </si>
  <si>
    <t>July 17th - Cold email./July 18th - Spoke with Dhanish - They prefer inhouse hiring - Droping an email.</t>
  </si>
  <si>
    <t>http://startupjobs.asia/job/39164-front-end-mobile-developer-front-end-developers-mybump-media-malaysia</t>
  </si>
  <si>
    <t>https://www.linkedin.com/company/mybump-llp/</t>
  </si>
  <si>
    <t>Durrows</t>
  </si>
  <si>
    <t>http://www.direct-id.sg</t>
  </si>
  <si>
    <t>Drake Woon</t>
  </si>
  <si>
    <t>Off - +65 9150 7233</t>
  </si>
  <si>
    <t>drakewoon@gmail.com / DW@durrows.com</t>
  </si>
  <si>
    <t>July 17th - Cold email./July 18th - Drake responded asking for development help - email send - Called - no answer - Ballpark estimate send./July 19th - Called - No answer - Project awarded to local agency - Asked about AI services via Linkedin - Shared the video link of MR training project./Aug 7th - Spke with Drake - team is busy with restructuring the system - will get back.</t>
  </si>
  <si>
    <t>http://startupjobs.asia/job/39045-web-developer-part-time-front-end-developers-durrows-pte-ltd-singapore</t>
  </si>
  <si>
    <t>https://www.linkedin.com/company/durrows/</t>
  </si>
  <si>
    <t>WheelChef</t>
  </si>
  <si>
    <t>http://www.wheelchefs.com</t>
  </si>
  <si>
    <t>Yashaswi Agrawal</t>
  </si>
  <si>
    <t>yashaswi.agrawal@gmail.com</t>
  </si>
  <si>
    <t>July 17th - Cold email./July 19th - 1st followup email.</t>
  </si>
  <si>
    <t>https://www.techinasia.com/jobs/3640cf76-df6a-4840-9c29-b5c39dde063e</t>
  </si>
  <si>
    <t>https://www.linkedin.com/company/wheelchef/</t>
  </si>
  <si>
    <t>Akeles Consulting Pte Ltd</t>
  </si>
  <si>
    <t>https://www.akeles.com</t>
  </si>
  <si>
    <t>Sim Hua Soon</t>
  </si>
  <si>
    <t>Off - +65 6100 9454</t>
  </si>
  <si>
    <t>contact@akeles.com</t>
  </si>
  <si>
    <t>July 17th - Cold email./July 18th - No answer - Followup tomorrow./July 19th - No answer - Followup email send.</t>
  </si>
  <si>
    <t>https://www.techinasia.com/jobs/da104bf7-2635-4a9f-8fc9-ade35d7aa196</t>
  </si>
  <si>
    <t>https://www.linkedin.com/in/sim-hua-soon-4258712/</t>
  </si>
  <si>
    <t>Ocean Nexus Sdn Bhd</t>
  </si>
  <si>
    <t>https://www.oceannexus.my/en/</t>
  </si>
  <si>
    <t>Chen Hui (Ray) Lee</t>
  </si>
  <si>
    <t>Off - +603 7734 2387</t>
  </si>
  <si>
    <t>ray@oceannexus.my</t>
  </si>
  <si>
    <t xml:space="preserve">enquiry@oceannexus.my / </t>
  </si>
  <si>
    <t>saiful@oceannexus.my</t>
  </si>
  <si>
    <t>July 17th - Cold email./July 18th - Unable to reach./July 19th - No answer - 1st followup email.</t>
  </si>
  <si>
    <t>https://www.techinasia.com/jobs/04e05586-1a33-4f1e-8b76-ed531a4fa8e6</t>
  </si>
  <si>
    <t>https://www.linkedin.com/company/ocean-nexus-sdn-bhd/</t>
  </si>
  <si>
    <t>Zeguestlist - Intelligent Events</t>
  </si>
  <si>
    <t>https://ww1.zeguestlist.com/</t>
  </si>
  <si>
    <t>Jonathan Ivarsson</t>
  </si>
  <si>
    <t>Off - +65 6816 1121</t>
  </si>
  <si>
    <t>jonathan@zeguestlist.com</t>
  </si>
  <si>
    <t>July 18th - Cold email./July 19th - Spoke with Jonathan - Looking for inhouse hire.</t>
  </si>
  <si>
    <t>http://startupjobs.asia/job/39429-full-stack-developer-full-stack-developer-onlive-io-zeguestlist-pte-ltd-anywhere</t>
  </si>
  <si>
    <t>https://www.linkedin.com/company/zeguestlist---simplifying-events/</t>
  </si>
  <si>
    <t>Carmen Automotive</t>
  </si>
  <si>
    <t>Automotive</t>
  </si>
  <si>
    <t>https://carmen.sg</t>
  </si>
  <si>
    <t>Sem Chong</t>
  </si>
  <si>
    <t>Off - (+65) 8484 9584</t>
  </si>
  <si>
    <t>sem.chong@carmen.sg</t>
  </si>
  <si>
    <t>support@carmen.sg</t>
  </si>
  <si>
    <t>July 18th - Cold email./July 19th - No answer - 1st followup email.</t>
  </si>
  <si>
    <t>https://www.techinasia.com/jobs/468cceba-d5a6-4295-83c0-9abf9f73f2e3</t>
  </si>
  <si>
    <t>https://www.linkedin.com/company/carmenautomotivepl/</t>
  </si>
  <si>
    <t>Luminovo Artificial Intelligence</t>
  </si>
  <si>
    <t>http://luminovo.ai/</t>
  </si>
  <si>
    <t>Timon Ruban</t>
  </si>
  <si>
    <t>Timon.Ruban@luminovo.ai / Timon@luminovo.ai</t>
  </si>
  <si>
    <t>July 18th - Cold email.</t>
  </si>
  <si>
    <t>https://www.f6s.com/jobs/37320/luminovo.ai/full-stack-developer</t>
  </si>
  <si>
    <t>https://www.linkedin.com/company/luminovo-ai/</t>
  </si>
  <si>
    <t>Stars &amp; Cows SOC.COOP</t>
  </si>
  <si>
    <t>http://www.starsandcows.com</t>
  </si>
  <si>
    <t>Marcella Gubitosa</t>
  </si>
  <si>
    <t>marcella.gubitosa@starsandcows.com</t>
  </si>
  <si>
    <t>https://www.f6s.com/jobs/37315/starscowssoccoop1/full-strak-web-developer</t>
  </si>
  <si>
    <t>https://www.linkedin.com/company/stars-&amp;-cows-societ%C3%A0-cooperativa/</t>
  </si>
  <si>
    <t>Schema ltd.</t>
  </si>
  <si>
    <t>Education</t>
  </si>
  <si>
    <t>Alexandru Okros</t>
  </si>
  <si>
    <t>July 18th - Linkedin request send.</t>
  </si>
  <si>
    <t>https://www.f6s.com/jobs/37311/schema.rocks/junior-full-stack-web-developer</t>
  </si>
  <si>
    <t>https://www.linkedin.com/in/alexandru-okros-58976212b/</t>
  </si>
  <si>
    <t>True AI</t>
  </si>
  <si>
    <t>https://trueai.io/</t>
  </si>
  <si>
    <t>Abhishek Aggarwal</t>
  </si>
  <si>
    <t>Abhi@trueai.io</t>
  </si>
  <si>
    <t>info@trueai.io</t>
  </si>
  <si>
    <t>https://www.f6s.com/jobs/37310/trueai/frontend-developer-and-designer</t>
  </si>
  <si>
    <t>https://www.linkedin.com/company/true-ai/</t>
  </si>
  <si>
    <t>Moona</t>
  </si>
  <si>
    <t>https://en.getmoona.com/</t>
  </si>
  <si>
    <t>David Stoikovitch</t>
  </si>
  <si>
    <t>Off - +33 6 51 70 68 30(Call charged)</t>
  </si>
  <si>
    <t>David@getmoona.com</t>
  </si>
  <si>
    <t>hello@getmoona.com</t>
  </si>
  <si>
    <t>coline@getmoona.com</t>
  </si>
  <si>
    <t>July 18th - Cold email./July 19th - Unable to connect - 1st followup email.</t>
  </si>
  <si>
    <t>https://www.f6s.com/jobs/37308/moona/stage-d-veloppeur-mobile-hybride-react</t>
  </si>
  <si>
    <t>https://www.linkedin.com/company/moona/</t>
  </si>
  <si>
    <t>Weedea | Communication &amp; Coding Lab</t>
  </si>
  <si>
    <t>https://www.weedea.com/</t>
  </si>
  <si>
    <t>Francesco Zuccaccia</t>
  </si>
  <si>
    <t>M - +393474636575(Call charged)</t>
  </si>
  <si>
    <t>Francesco.Zuccaccia@weedea.com / Francesco@weedea.com</t>
  </si>
  <si>
    <t>Skype - francesco.zuccaccia</t>
  </si>
  <si>
    <t>info@weedea.com</t>
  </si>
  <si>
    <t>francesco.zuccaccia@gmail.com</t>
  </si>
  <si>
    <t>July 18th - Cold email./July 19th - Francesco replied via Linkedin - hiring inhouse - future opportunity - called - no answer.</t>
  </si>
  <si>
    <t>https://www.f6s.com/jobs/37307/weedea/php-developer</t>
  </si>
  <si>
    <t>https://www.linkedin.com/company/weedea/</t>
  </si>
  <si>
    <t>Amplify Intelligence Pty Ltd</t>
  </si>
  <si>
    <t>https://www.amplifyintelligence.com</t>
  </si>
  <si>
    <t>Paul Byrne</t>
  </si>
  <si>
    <t>Paul@amplifyintelligence.com</t>
  </si>
  <si>
    <t>info@amplifyintelligence.com</t>
  </si>
  <si>
    <t>https://www.f6s.com/jobs/37295/amplifyintelligence/front-end-java-vaadin-developer</t>
  </si>
  <si>
    <t>https://www.linkedin.com/company/amplify-intelligence-limited/?originalSubdomain=au</t>
  </si>
  <si>
    <t>Transpooler</t>
  </si>
  <si>
    <t>Transportation</t>
  </si>
  <si>
    <t>http://transpooler.com/</t>
  </si>
  <si>
    <t>Yasser Hassan</t>
  </si>
  <si>
    <t>Off - +20 100 317 6331(call charged)</t>
  </si>
  <si>
    <t>YHassan@transpooler.com</t>
  </si>
  <si>
    <t>transpoolerapp@gmail.com</t>
  </si>
  <si>
    <t>July 18th - Cold email./July 19th - Spoke with Yasser - Looking for inhouse hire.</t>
  </si>
  <si>
    <t>https://www.f6s.com/jobs/37293/transpooler/python-django-senior-developer</t>
  </si>
  <si>
    <t>https://www.linkedin.com/in/yasser-hassan-6bab16/</t>
  </si>
  <si>
    <t>AlliedCrowds</t>
  </si>
  <si>
    <t>https://alliedcrowds.com</t>
  </si>
  <si>
    <t>Malcolm Kapuza</t>
  </si>
  <si>
    <t>Malcolm.Kapuza@alliedcrowds.com / Malcolm@alliedcrowds.com</t>
  </si>
  <si>
    <t>info@alliedcrowds.com</t>
  </si>
  <si>
    <t>https://www.f6s.com/jobs/37289/alliedcrowdsltd/software-engineer-intern</t>
  </si>
  <si>
    <t>https://www.linkedin.com/company/alliedcrowds/</t>
  </si>
  <si>
    <t>Kenya</t>
  </si>
  <si>
    <t>FARMRITE LIMITED</t>
  </si>
  <si>
    <t>E-Commerce</t>
  </si>
  <si>
    <t>Noah Kakai</t>
  </si>
  <si>
    <t>https://www.f6s.com/jobs/37233/farmritelimited/software-engineer</t>
  </si>
  <si>
    <t>https://www.linkedin.com/in/noahkakai/</t>
  </si>
  <si>
    <t>ISSME Student Services Inc.</t>
  </si>
  <si>
    <t>https://www.issme.ca</t>
  </si>
  <si>
    <t>Saad jan</t>
  </si>
  <si>
    <t>Saad.jan@issme.ca</t>
  </si>
  <si>
    <t>info@issme.ca</t>
  </si>
  <si>
    <t>https://www.f6s.com/jobs/37213/issmestudentservices/technical-cofounder</t>
  </si>
  <si>
    <t>https://www.linkedin.com/company/issme-student-services-inc/?originalSubdomain=in</t>
  </si>
  <si>
    <t>Wetaxi</t>
  </si>
  <si>
    <t>https://wetaxi.it/</t>
  </si>
  <si>
    <t>Luca Gobbato</t>
  </si>
  <si>
    <t>Luca@wetaxi.it</t>
  </si>
  <si>
    <t>info@wetaxi.it</t>
  </si>
  <si>
    <t>https://www.f6s.com/jobs/37165/wetaxi/full-stack-developer</t>
  </si>
  <si>
    <t>https://www.linkedin.com/company/wetaxi/</t>
  </si>
  <si>
    <t>Stonefriar Capital Limited</t>
  </si>
  <si>
    <t>Lewis Gardner</t>
  </si>
  <si>
    <t>https://www.f6s.com/jobs/37161/stonefriarcapitallimited/cto</t>
  </si>
  <si>
    <t>https://www.linkedin.com/in/ljmgardner/</t>
  </si>
  <si>
    <t>Tiba Life</t>
  </si>
  <si>
    <t>https://tibalife.com/</t>
  </si>
  <si>
    <t>Michael Auchenberg</t>
  </si>
  <si>
    <t>michael@auchenberg.dk</t>
  </si>
  <si>
    <t>https://www.f6s.com/jobs/37154/tiba/cio-cto</t>
  </si>
  <si>
    <t>https://www.linkedin.com/company/tibalife/</t>
  </si>
  <si>
    <t>SoBus</t>
  </si>
  <si>
    <t>https://www.sobus.fr/</t>
  </si>
  <si>
    <t>Matthieu Marquenet</t>
  </si>
  <si>
    <t>Matthieu.Marquenet@sobus.fr</t>
  </si>
  <si>
    <t>https://www.f6s.com/jobs/37142/sobus.fr/engineer-internship-full-stack</t>
  </si>
  <si>
    <t>https://www.linkedin.com/company/so-bus/</t>
  </si>
  <si>
    <t>Czech Republic</t>
  </si>
  <si>
    <t>Virtubio</t>
  </si>
  <si>
    <t>http://www.virtub.io</t>
  </si>
  <si>
    <t>Dusan Svancara</t>
  </si>
  <si>
    <t>Off - +420 725 807 370</t>
  </si>
  <si>
    <t>Dusan.svancara@virtub.io</t>
  </si>
  <si>
    <t>https://www.f6s.com/jobs/37136/virtubio/senior-backend-developer</t>
  </si>
  <si>
    <t>https://www.linkedin.com/company/virtubio/</t>
  </si>
  <si>
    <t>BloomThis</t>
  </si>
  <si>
    <t>Retail</t>
  </si>
  <si>
    <t>https://bloomthis.co/</t>
  </si>
  <si>
    <t>Giden Lim</t>
  </si>
  <si>
    <t>GidenLim@bloomthis.co</t>
  </si>
  <si>
    <t>contact@bloomthis.co</t>
  </si>
  <si>
    <t>July 19th - Cold email.</t>
  </si>
  <si>
    <t>http://startupjobs.asia/job/39444-tech-developer-it-bloomthis-malaysia</t>
  </si>
  <si>
    <t>https://www.linkedin.com/company/bloomthis/</t>
  </si>
  <si>
    <t>POPA Channel</t>
  </si>
  <si>
    <t>http://popa.hk/</t>
  </si>
  <si>
    <t>Kathy Ng</t>
  </si>
  <si>
    <t>kathy@popa.hk</t>
  </si>
  <si>
    <t>info@popa.hk</t>
  </si>
  <si>
    <t>https://www.techinasia.com/jobs/50fe2af6-1f67-4943-b446-45a658ff775c</t>
  </si>
  <si>
    <t>Synchroweb Technology</t>
  </si>
  <si>
    <t>https://www.synchroweb.com</t>
  </si>
  <si>
    <t>Pang wee tak</t>
  </si>
  <si>
    <t>Off - +60 3-5880 5486</t>
  </si>
  <si>
    <t>Pang@synchroweb.com</t>
  </si>
  <si>
    <t>info@synchroweb.com / sales@synchroweb.com</t>
  </si>
  <si>
    <t>https://www.techinasia.com/jobs/d57f8591-3ccd-4978-8bd9-2d2b3f714f1f</t>
  </si>
  <si>
    <t>https://www.linkedin.com/in/pang-wee-tak-98aa313/</t>
  </si>
  <si>
    <t>AsiaMX (Asia Media Exchange)</t>
  </si>
  <si>
    <t>https://www.asiamx.com/</t>
  </si>
  <si>
    <t>Nick Chuah</t>
  </si>
  <si>
    <t>nick@asiamx.com</t>
  </si>
  <si>
    <t>https://www.techinasia.com/jobs/18e573ea-f360-4401-9702-6428d2c5abf8</t>
  </si>
  <si>
    <t>https://www.linkedin.com/company/asiamx/</t>
  </si>
  <si>
    <t>CapitalBay</t>
  </si>
  <si>
    <t>https://capitalbay.com.my/</t>
  </si>
  <si>
    <t>Edwin Tan</t>
  </si>
  <si>
    <t>Off - +603 5623 8709 / +6012 349 9093</t>
  </si>
  <si>
    <t>Edwin@capitalbay.com.my</t>
  </si>
  <si>
    <t>Off - +603 5623 8921</t>
  </si>
  <si>
    <t>contact@capitalbay.com.my</t>
  </si>
  <si>
    <t>https://www.techinasia.com/jobs/61662b12-13b0-4fca-b3ab-92ec6204cbba</t>
  </si>
  <si>
    <t>https://www.linkedin.com/company/capbay/</t>
  </si>
  <si>
    <t>MeEduca</t>
  </si>
  <si>
    <t>Higher Education</t>
  </si>
  <si>
    <t>http://www.meeduca.com.br/</t>
  </si>
  <si>
    <t>Arthur Rubino</t>
  </si>
  <si>
    <t>Arthur@meeduca.com.br</t>
  </si>
  <si>
    <t>https://www.f6s.com/jobs/37347/meeduca/cto-co-founder</t>
  </si>
  <si>
    <t>https://www.linkedin.com/company/meeduca/</t>
  </si>
  <si>
    <t>NOOW.WORLD</t>
  </si>
  <si>
    <t>https://krispykrush.com/o-o-the-app-find-like-minded-people-and-things-to-do-with-them-on-the-go/</t>
  </si>
  <si>
    <t>Marie Antoine</t>
  </si>
  <si>
    <t>marie@krispykrush.com</t>
  </si>
  <si>
    <t>https://www.f6s.com/jobs/37339/noow.world/cto-co-founder</t>
  </si>
  <si>
    <t>https://www.linkedin.com/in/krispykrush/</t>
  </si>
  <si>
    <t>Shanshan Xu</t>
  </si>
  <si>
    <t>shanshan@getmucho.com</t>
  </si>
  <si>
    <t>https://www.f6s.com/jobs/37330/muchobycook-incompanylimited/full-stack-php-developer</t>
  </si>
  <si>
    <t>Bahrain</t>
  </si>
  <si>
    <t>The Stories Studio</t>
  </si>
  <si>
    <t>https://www.thestoriesstudio.com/</t>
  </si>
  <si>
    <t>Saba Saleem</t>
  </si>
  <si>
    <t>Off - +973 3351 2707</t>
  </si>
  <si>
    <t>mail@thestoriesstudio.com</t>
  </si>
  <si>
    <t>https://www.f6s.com/jobs/37068/thestoriesstudio/game-programmer</t>
  </si>
  <si>
    <t>https://www.linkedin.com/company/thestoriesstudio/</t>
  </si>
  <si>
    <t>Monkee</t>
  </si>
  <si>
    <t>https://www.monkee.rocks/</t>
  </si>
  <si>
    <t>Martin Granig</t>
  </si>
  <si>
    <t>martin@monkee.rocks</t>
  </si>
  <si>
    <t>info@monkee.rocks</t>
  </si>
  <si>
    <t>July 19th - Cold email./July 19th - Martin responded - His CTO should take the decision.</t>
  </si>
  <si>
    <t>https://www.f6s.com/jobs/37027/monkee/cto-full-stack-developer</t>
  </si>
  <si>
    <t>Vixtape</t>
  </si>
  <si>
    <t>Telecommunications</t>
  </si>
  <si>
    <t>http://vixtape.tv/</t>
  </si>
  <si>
    <t>Michael Fiorentino</t>
  </si>
  <si>
    <t>Michael@vixtape.tv</t>
  </si>
  <si>
    <t>https://www.f6s.com/jobs/37035/vixtape/cto-head-of-engineering</t>
  </si>
  <si>
    <t>https://www.linkedin.com/company/vixtape/</t>
  </si>
  <si>
    <t>Mexico</t>
  </si>
  <si>
    <t>Premia Network</t>
  </si>
  <si>
    <t>https://premia.network</t>
  </si>
  <si>
    <t>Sebastian Téllez Iñiguez</t>
  </si>
  <si>
    <t>Off - +54 (722) 110 4011</t>
  </si>
  <si>
    <t>info@premia.network</t>
  </si>
  <si>
    <t>https://www.f6s.com/jobs/37018/premianetwork/programador</t>
  </si>
  <si>
    <t>https://www.linkedin.com/company/premianetwork/</t>
  </si>
  <si>
    <t>RADIOActive.sg</t>
  </si>
  <si>
    <t>https://radioactive.sg/</t>
  </si>
  <si>
    <t>Aloysius Tan</t>
  </si>
  <si>
    <t>Off - (+65) 96758785</t>
  </si>
  <si>
    <t>Aloysius@radioactive.sg</t>
  </si>
  <si>
    <t>sales@radioactive.sg</t>
  </si>
  <si>
    <t>Aug 6th - Cold email./Aug 7th - Spoke with Aloysius - asked not to call.</t>
  </si>
  <si>
    <t>http://startupjobs.asia/job/8947-full-stack-software-engineer-radioactive-pte-ltd-singapore</t>
  </si>
  <si>
    <t>https://www.linkedin.com/company/radioactive.sg/</t>
  </si>
  <si>
    <t>TenderBoard Private Limited</t>
  </si>
  <si>
    <t>https://www.tenderboard.biz/</t>
  </si>
  <si>
    <t>Ken Ooi</t>
  </si>
  <si>
    <t>Off - +65 98624651</t>
  </si>
  <si>
    <t>Ken@tenderboard.biz</t>
  </si>
  <si>
    <t>hello@tenderboard.biz</t>
  </si>
  <si>
    <t>Aug 6th - Cold email./Aug 7th - No answer - 1st followup email./Aug 8th - No answer./Aug 9th - No answer - Followed via Linkedin./Aug 10th - No answer.</t>
  </si>
  <si>
    <t>http://startupjobs.asia/job/39774-full-stack-software-developer-full-stack-developer-tenderboard-singapore</t>
  </si>
  <si>
    <t>https://www.linkedin.com/company/tenderboard/</t>
  </si>
  <si>
    <t>Hook Coffee</t>
  </si>
  <si>
    <t>https://hookcoffee.com.sg/</t>
  </si>
  <si>
    <t>Ernest Ting</t>
  </si>
  <si>
    <t>Ernest@hookcoffee.com.sg</t>
  </si>
  <si>
    <t>hola@hookcoffee.com.sg</t>
  </si>
  <si>
    <t>Aug 6th - Cold email./Aug 8th - 1st followup email.</t>
  </si>
  <si>
    <t>http://startupjobs.asia/job/39773-full-stack-web-developer-it-hook-coffee-singapore</t>
  </si>
  <si>
    <t>https://www.linkedin.com/company/hook-coffee/</t>
  </si>
  <si>
    <t>US</t>
  </si>
  <si>
    <t>JETZY</t>
  </si>
  <si>
    <t>https://www.jetzyapp.com/</t>
  </si>
  <si>
    <t>Shama Zehra</t>
  </si>
  <si>
    <t>Shama@jetzyapp.com / Shamazehra@jetzyapp.com</t>
  </si>
  <si>
    <t>contact@jetzyapp.com</t>
  </si>
  <si>
    <t>https://www.techinasia.com/jobs/6a07896b-c2f8-41c2-8e00-dbacd0534637</t>
  </si>
  <si>
    <t>https://www.linkedin.com/company/jetzy---travelers-connect/</t>
  </si>
  <si>
    <t>Movel AI</t>
  </si>
  <si>
    <t>Research</t>
  </si>
  <si>
    <t>http://movel.ai/</t>
  </si>
  <si>
    <t>Abhishek Gupta</t>
  </si>
  <si>
    <t>M - +65 94518594</t>
  </si>
  <si>
    <t>Abhishek@movel.ai</t>
  </si>
  <si>
    <t>contact@movel.ai</t>
  </si>
  <si>
    <t xml:space="preserve">Aug 6th - Cold email - Chatted via Linkedin - Looking for inhouse hire - Tried to convince./Aug 7th - shared the related projects - Interested to work with budget matches, but no advance payment - shared the req - got the number - spk with Abhishek regarding payment terms. </t>
  </si>
  <si>
    <t>https://www.techinasia.com/jobs/3116e2a3-f3af-4cda-86e5-1a91169d66ba</t>
  </si>
  <si>
    <t>https://www.linkedin.com/company/movel-ai-pte-ltd/</t>
  </si>
  <si>
    <t>Datavis Pte Ltd</t>
  </si>
  <si>
    <t>https://www.datavis.sg</t>
  </si>
  <si>
    <t>Faizola Nordin</t>
  </si>
  <si>
    <t>Faizola@datavis.sg</t>
  </si>
  <si>
    <t>hello@datavis.sg</t>
  </si>
  <si>
    <t>https://www.linkedin.com/company/datavis-pte-ltd/</t>
  </si>
  <si>
    <t>Untangle AI</t>
  </si>
  <si>
    <t>https://www.untangle.ai/</t>
  </si>
  <si>
    <t>Naresh Rajendra Shah</t>
  </si>
  <si>
    <t>Naresh@untangle.ai</t>
  </si>
  <si>
    <t>sales@untangle.ai</t>
  </si>
  <si>
    <t>https://www.techinasia.com/jobs/0f83b258-9a45-461f-9a44-4e488b0297ff</t>
  </si>
  <si>
    <t>https://www.linkedin.com/company/untangleai/</t>
  </si>
  <si>
    <t>Smartblktrade</t>
  </si>
  <si>
    <t>Dr Alan Chow</t>
  </si>
  <si>
    <t>alanchow@focusc.com</t>
  </si>
  <si>
    <t>Aug 6th - Linkedin request sent./Aug 8th - Followed up via Linkedin.</t>
  </si>
  <si>
    <t>https://www.techinasia.com/jobs/b98ce0a3-955d-4b4b-a248-d389442e02d1</t>
  </si>
  <si>
    <t>https://www.linkedin.com/in/alanchowhk/</t>
  </si>
  <si>
    <t>Vibease</t>
  </si>
  <si>
    <t>https://www.vibease.com/</t>
  </si>
  <si>
    <t>Steven Kik</t>
  </si>
  <si>
    <t>steven@vibease.com</t>
  </si>
  <si>
    <t>Aug 6th - Cold email./Aug 7th - Not able to reach the right guy./Aug 8th - 1st followup email.</t>
  </si>
  <si>
    <t>https://www.techinasia.com/jobs/f06dd30a-12c9-4ae9-be93-04c60411dc57</t>
  </si>
  <si>
    <t>https://www.linkedin.com/company/vibease-pte-ltd/</t>
  </si>
  <si>
    <t>mybitwallet</t>
  </si>
  <si>
    <t>https://www.mybitwallet.com</t>
  </si>
  <si>
    <t>Off - +65 6221 0111</t>
  </si>
  <si>
    <t>info@mybitwallet.com</t>
  </si>
  <si>
    <t>Aug 6th - Cold email./Aug 7th - Unable to reach the right guy.</t>
  </si>
  <si>
    <t>https://www.techinasia.com/jobs/05b5b682-9ff3-46f2-96be-a8496b3f1663</t>
  </si>
  <si>
    <t>https://www.linkedin.com/company/mybitwallet/?originalSubdomain=sg</t>
  </si>
  <si>
    <t>SpreadSheep</t>
  </si>
  <si>
    <t>https://spreadsheep.io/</t>
  </si>
  <si>
    <t>Thomas BROSSET</t>
  </si>
  <si>
    <t>Off - +33 1 72 77 00 42</t>
  </si>
  <si>
    <t>Thomas.BROSSET@spreadsheep.io</t>
  </si>
  <si>
    <t>contact@spreadsheep.io</t>
  </si>
  <si>
    <t>Aug 6th - Cold email./Aug 7th - Spoke with Thomas - Not interested in offshore development.</t>
  </si>
  <si>
    <t>https://www.f6s.com/jobs/37634/spreadsheep/cto-team-builder-and-expert-in-cqrs</t>
  </si>
  <si>
    <t>https://www.linkedin.com/company/spreadsheep/</t>
  </si>
  <si>
    <t>Render Music, Inc</t>
  </si>
  <si>
    <t>https://www.rendermusic.io/</t>
  </si>
  <si>
    <t>Anthony Reese Schneider</t>
  </si>
  <si>
    <t>Off - + (513) 652 - 5315</t>
  </si>
  <si>
    <t>anthonyschneider111@gmail.com</t>
  </si>
  <si>
    <t>http://www.anthonyrschneider.com</t>
  </si>
  <si>
    <t>Aug 6th - Cold email.</t>
  </si>
  <si>
    <t>https://www.f6s.com/jobs/37620/rendermusicinc/senior-ios-developer</t>
  </si>
  <si>
    <t>https://www.linkedin.com/company/rendermusic/</t>
  </si>
  <si>
    <t>Kota</t>
  </si>
  <si>
    <t>https://www.kotacreative.co.uk</t>
  </si>
  <si>
    <t>Jonathan Bradford</t>
  </si>
  <si>
    <t xml:space="preserve">Off - +44 0207 729 3905 </t>
  </si>
  <si>
    <t>hello@kotacreative.co.uk</t>
  </si>
  <si>
    <t>Aug 6th - Linkedin request sent./Aug 7th - Spk with Jonathan - Looking for London devs.</t>
  </si>
  <si>
    <t>https://remote.co/job/wordpress-javascript-wizard-for-creative-digital-agency/</t>
  </si>
  <si>
    <t>https://www.linkedin.com/company/kota-creative/</t>
  </si>
  <si>
    <t>KryptoPOS</t>
  </si>
  <si>
    <t>https://kryptopos.com/</t>
  </si>
  <si>
    <t>Gavin Gan</t>
  </si>
  <si>
    <t>Gavin@kryptopos.com</t>
  </si>
  <si>
    <t>Aug 7th - Cold email./Aug 8th - 1st followup email./Aug 9th - Gavin responded - not interested at the moment.</t>
  </si>
  <si>
    <t>http://startupjobs.asia/job/39589-web-backend-developer-php-it-kryptopos-malaysia</t>
  </si>
  <si>
    <t>https://www.linkedin.com/company/kryptopos/</t>
  </si>
  <si>
    <t>Cameroon</t>
  </si>
  <si>
    <t>Foundation for Community Development</t>
  </si>
  <si>
    <t>Agriculture</t>
  </si>
  <si>
    <t>http://fcdacameroon.org/</t>
  </si>
  <si>
    <t>Etienne Ayuk</t>
  </si>
  <si>
    <t>Off - +237 6 70 58 62 68</t>
  </si>
  <si>
    <t>info@fcdacameroon.org</t>
  </si>
  <si>
    <t>Aug 7th - Not able to connect - Cold email - Chatted via Linkedin - Shared the requirement - Call setted up tomorrow @ 2.30PM IST.</t>
  </si>
  <si>
    <t>https://www.f6s.com/jobs/37640/foundationforcommunitydevelopment/mobile-app-developer</t>
  </si>
  <si>
    <t>https://www.linkedin.com/in/etienne-ayuk-946626143/</t>
  </si>
  <si>
    <t>UAE</t>
  </si>
  <si>
    <t>DoorsVision</t>
  </si>
  <si>
    <t>https://www.doorsvision.com/</t>
  </si>
  <si>
    <t>Hadi Chakir Mardini</t>
  </si>
  <si>
    <t>M - +971555523237 / Off - +97145013990</t>
  </si>
  <si>
    <t>Aug 7th - No answer -  Linkedin request sent./Aug 8th - No answer - Followed up via Linkedin.</t>
  </si>
  <si>
    <t>https://www.f6s.com/jobs/37638/doorsvision/developer</t>
  </si>
  <si>
    <t>https://www.linkedin.com/company/doorsvision/</t>
  </si>
  <si>
    <t>STYCKR</t>
  </si>
  <si>
    <t>Wireless</t>
  </si>
  <si>
    <t>http://www.styckr.rocks/</t>
  </si>
  <si>
    <t>Thomas Fayon</t>
  </si>
  <si>
    <t>thomas.fayon@styckr.io / thomas@styckr.io</t>
  </si>
  <si>
    <t>hello@styckr.io</t>
  </si>
  <si>
    <t>Aug 7th - Cold email./Aug 9th - 1st followup email.</t>
  </si>
  <si>
    <t>https://www.f6s.com/jobs/37628/styckr/firmware-developper</t>
  </si>
  <si>
    <t>https://www.linkedin.com/company/styckr/</t>
  </si>
  <si>
    <t>Musiverse</t>
  </si>
  <si>
    <t>Film Production</t>
  </si>
  <si>
    <t>Andre Miranda</t>
  </si>
  <si>
    <t>Aug 7th - Linkedin request sent.</t>
  </si>
  <si>
    <t>https://www.f6s.com/jobs/37605/musiverse/chief-technology-officer</t>
  </si>
  <si>
    <t>https://www.linkedin.com/in/andr%C3%A9-miranda-b096a487/</t>
  </si>
  <si>
    <t>Bellamaterna Brazil</t>
  </si>
  <si>
    <t>https://www.bellamaterna.com.br/</t>
  </si>
  <si>
    <t>Ricardo Franco</t>
  </si>
  <si>
    <t>Off - +55 11985498413</t>
  </si>
  <si>
    <t>Ricardo@bellamaterna.com.br</t>
  </si>
  <si>
    <t>francoricardo484@gmail.com</t>
  </si>
  <si>
    <t>Aug 7th - Cold email.</t>
  </si>
  <si>
    <t>https://www.f6s.com/jobs/37599/bellamaterna1/desenvolvedor-front-end-react</t>
  </si>
  <si>
    <t>https://www.linkedin.com/company/bellamaterna-brasil/</t>
  </si>
  <si>
    <t>Turkey</t>
  </si>
  <si>
    <t>Ilao</t>
  </si>
  <si>
    <t>http://www.ilao.co/</t>
  </si>
  <si>
    <t>Julian Gumenita</t>
  </si>
  <si>
    <t>Julian@ilao.co</t>
  </si>
  <si>
    <t>https://www.f6s.com/jobs/37593/ilao/developer</t>
  </si>
  <si>
    <t>https://www.linkedin.com/company/ilao/</t>
  </si>
  <si>
    <t>Isreal</t>
  </si>
  <si>
    <t>NeverFiat</t>
  </si>
  <si>
    <t>Crypto Marketplace</t>
  </si>
  <si>
    <t>https://neverfiat.com/</t>
  </si>
  <si>
    <t>Yishay Harel</t>
  </si>
  <si>
    <t>Yishay@neverfiat.com</t>
  </si>
  <si>
    <t>yishayrl@gmail.com</t>
  </si>
  <si>
    <t>support@neverfiat.com</t>
  </si>
  <si>
    <t>https://www.f6s.com/jobs/37579/neverfiat/cto</t>
  </si>
  <si>
    <t>https://www.linkedin.com/in/yishayrl/</t>
  </si>
  <si>
    <t>OneFID GmbH</t>
  </si>
  <si>
    <t>https://onefid.com/</t>
  </si>
  <si>
    <t>Timo Marks</t>
  </si>
  <si>
    <t>Off - +49 (0) 221 - 9581 7441</t>
  </si>
  <si>
    <t>Timo.Marks@onefid.com / Timo@onefid.com</t>
  </si>
  <si>
    <t>Aug 7th - No answer -  Cold email./Aug 8th - No answer - 1st followup email./Aug 10th - No answer.</t>
  </si>
  <si>
    <t>https://www.f6s.com/jobs/37578/onefidgmbh1/frontend-developer</t>
  </si>
  <si>
    <t>https://www.linkedin.com/company/onefid/</t>
  </si>
  <si>
    <t>Koobby - fitness app</t>
  </si>
  <si>
    <t>https://koobby.com/</t>
  </si>
  <si>
    <t>Cristiano Viegas</t>
  </si>
  <si>
    <t>Cristiano.Viegas@koobby.com / Cristiano@koobby.com</t>
  </si>
  <si>
    <t>Aug 7th - No answer -  Cold email./Aug 9th - 1st followup email.</t>
  </si>
  <si>
    <t>https://www.f6s.com/jobs/37555/koobby-fitnessapp/co-founder-cto</t>
  </si>
  <si>
    <t>https://www.linkedin.com/in/cristianoviegas/</t>
  </si>
  <si>
    <t>ApTap LTD</t>
  </si>
  <si>
    <t>https://www.aptap.co.uk/</t>
  </si>
  <si>
    <t>Will Billingsley</t>
  </si>
  <si>
    <t>w.billingsley@aptap.co.uk</t>
  </si>
  <si>
    <t>Aug 7th - Cold email - Will responded - another team is working on the product.</t>
  </si>
  <si>
    <t>https://www.f6s.com/jobs/37562/aptapltd/tech-lead</t>
  </si>
  <si>
    <t>https://www.linkedin.com/company/aptap-ltd/</t>
  </si>
  <si>
    <t>Gilytics</t>
  </si>
  <si>
    <t>http://www.gilytics.com</t>
  </si>
  <si>
    <t>Stefano Grassi</t>
  </si>
  <si>
    <t>Off - + (41) 762754760</t>
  </si>
  <si>
    <t>Stefano@gilytics.com / Stefano.Grassi@gilytics.com</t>
  </si>
  <si>
    <t>info@gilytics.com</t>
  </si>
  <si>
    <t>Aug 7th - No answer - Cold email./Aug 9th - No answer - 1st followup email.</t>
  </si>
  <si>
    <t>https://www.f6s.com/jobs/37553/gilytics/software-engineer-cto</t>
  </si>
  <si>
    <t>https://www.linkedin.com/company/gilytics/</t>
  </si>
  <si>
    <t>Malta</t>
  </si>
  <si>
    <t>NinjaMoba</t>
  </si>
  <si>
    <t>https://www.ninjamoba.com/</t>
  </si>
  <si>
    <t>Bryan Ogden</t>
  </si>
  <si>
    <t>Aug 7th - Linkedin request sent - chatted via Linkedin - not interested.</t>
  </si>
  <si>
    <t>https://www.f6s.com/jobs/37550/ninjamoba/cto-co-founder</t>
  </si>
  <si>
    <t>https://www.linkedin.com/in/bryanogden1/</t>
  </si>
  <si>
    <t>QVSTA</t>
  </si>
  <si>
    <t>http://qvsta.com/</t>
  </si>
  <si>
    <t>Ludwig Henne</t>
  </si>
  <si>
    <t>ludwig@qvsta.com</t>
  </si>
  <si>
    <t>https://www.f6s.com/jobs/37529/qvsta/frontend-developer</t>
  </si>
  <si>
    <t>https://www.linkedin.com/company/qvsta/</t>
  </si>
  <si>
    <t>TG0</t>
  </si>
  <si>
    <t>http://tg0.co.uk/</t>
  </si>
  <si>
    <t>Ming Kong</t>
  </si>
  <si>
    <t>Ming@tg0.co.uk</t>
  </si>
  <si>
    <t>info@tg0.co.uk</t>
  </si>
  <si>
    <t>https://www.f6s.com/jobs/37470/tg0/algorithmic-software-engineer-fulltime</t>
  </si>
  <si>
    <t>https://www.linkedin.com/in/kongming/</t>
  </si>
  <si>
    <t>B2Book.net</t>
  </si>
  <si>
    <t>Hospitality</t>
  </si>
  <si>
    <t>https://b2book.net</t>
  </si>
  <si>
    <t>Fabrizio Bianchi</t>
  </si>
  <si>
    <t>FabrizioBianchi@b2book.net</t>
  </si>
  <si>
    <t>info@b2book.net</t>
  </si>
  <si>
    <t>https://www.f6s.com/jobs/37465/b2book.net/full-stack-developer</t>
  </si>
  <si>
    <t>https://www.linkedin.com/company/b2book.net/</t>
  </si>
  <si>
    <t>QuaNode</t>
  </si>
  <si>
    <t>http://www.quanode.com</t>
  </si>
  <si>
    <t>Ahmed Ragab</t>
  </si>
  <si>
    <t>Off - +20 122 291 3989(call charged)</t>
  </si>
  <si>
    <t>Ahmed.Ragab@quanode.com / Ahmed@quanode.com</t>
  </si>
  <si>
    <t>info@quanode.com</t>
  </si>
  <si>
    <t>https://www.f6s.com/jobs/37461/quanode1/senior-full-stack-developer</t>
  </si>
  <si>
    <t>https://www.linkedin.com/company/quanode/</t>
  </si>
  <si>
    <t>voomenu</t>
  </si>
  <si>
    <t>https://www.voomenu.com/</t>
  </si>
  <si>
    <t>Jacqueline Tremblay</t>
  </si>
  <si>
    <t>Jacqueline@voomenu.com</t>
  </si>
  <si>
    <t>Aug 7th - Cold email./Aug 9th - Followedup via Linkedin.</t>
  </si>
  <si>
    <t>https://www.f6s.com/jobs/37457/voomenu/junior-front-end-web-developer</t>
  </si>
  <si>
    <t>https://www.linkedin.com/company/voomenu/?originalSubdomain=ca</t>
  </si>
  <si>
    <t>Knowlers</t>
  </si>
  <si>
    <t>http://knowlers.com/</t>
  </si>
  <si>
    <t>George Manousakis</t>
  </si>
  <si>
    <t>manousakiscivil@gmail.com</t>
  </si>
  <si>
    <t>info@knowlers.com</t>
  </si>
  <si>
    <t>Aug 7th - Cold email./Aug 10th - 1st followup email.</t>
  </si>
  <si>
    <t>https://www.f6s.com/jobs/37440/knowlers/technical-co-founder</t>
  </si>
  <si>
    <t>https://www.linkedin.com/company/knowlers/</t>
  </si>
  <si>
    <t>Seeka Technology</t>
  </si>
  <si>
    <t>http://seekadegree.com/</t>
  </si>
  <si>
    <t>Ado Dedovic</t>
  </si>
  <si>
    <t>Off - +60 3 7497 2166</t>
  </si>
  <si>
    <t>ado@seekadegree.com</t>
  </si>
  <si>
    <t>Aug 8th - Cold email./Aug 9th - Ado is in interview - spk with Henrik - call tomorrow./Aug 10th - Answered &amp; Disconnected.</t>
  </si>
  <si>
    <t>http://startupjobs.asia/job/39833-it-web-design-app-developer-internship-it-seeka-technology-malaysia</t>
  </si>
  <si>
    <t>https://www.linkedin.com/in/ado-dedovic/</t>
  </si>
  <si>
    <t>Taze Şef</t>
  </si>
  <si>
    <t>https://www.tazesef.com/</t>
  </si>
  <si>
    <t>Ahmet Akkaya</t>
  </si>
  <si>
    <t>Off -+90 0216 574 5 574(call charged)</t>
  </si>
  <si>
    <t>Ahmet@tazesef.com</t>
  </si>
  <si>
    <t>destek@tazesef.com</t>
  </si>
  <si>
    <t>Aug 8th - Cold email./Aug 9th - no answer - 1st followup email.</t>
  </si>
  <si>
    <t>https://www.f6s.com/jobs/37429/tazesef/senior-php-developer</t>
  </si>
  <si>
    <t>https://www.linkedin.com/company/tazesef/</t>
  </si>
  <si>
    <t>Ottoo</t>
  </si>
  <si>
    <t>http://ottoo.com/</t>
  </si>
  <si>
    <t>Murat Aras</t>
  </si>
  <si>
    <t>Off - +90 530 116 4009(call charged)</t>
  </si>
  <si>
    <t>Murat@ottoo.com</t>
  </si>
  <si>
    <t>info@ottoo.co</t>
  </si>
  <si>
    <t>https://www.f6s.com/jobs/37413/ottoo/full-stack-developer</t>
  </si>
  <si>
    <t>https://www.linkedin.com/company/ottoo/</t>
  </si>
  <si>
    <t>RiceAppy</t>
  </si>
  <si>
    <t>Goncalo Faria Nunes</t>
  </si>
  <si>
    <t>Aug 8th - Linkedin request sent.</t>
  </si>
  <si>
    <t>https://www.f6s.com/jobs/37405/riceappy/back-end-developer</t>
  </si>
  <si>
    <t>https://www.linkedin.com/in/gfarianunes/</t>
  </si>
  <si>
    <t>AdTonos</t>
  </si>
  <si>
    <t>http://www.adtonos.com</t>
  </si>
  <si>
    <t>Michal Marcinik</t>
  </si>
  <si>
    <t>Michal.Marcinik@adtonos.com / Michal@adtonos.com</t>
  </si>
  <si>
    <t>gaga@adtonos.com</t>
  </si>
  <si>
    <t>Aug 8th - Cold email./Aug 10th - 1st followup email.</t>
  </si>
  <si>
    <t>https://www.f6s.com/jobs/37396/radionet.me/head-of-development</t>
  </si>
  <si>
    <t>https://www.linkedin.com/company/radio-net-media/</t>
  </si>
  <si>
    <t>Bulgaria</t>
  </si>
  <si>
    <t>Consult.law</t>
  </si>
  <si>
    <t>Legal Services</t>
  </si>
  <si>
    <t>https://consult.law</t>
  </si>
  <si>
    <t>Nikolay Mladenov</t>
  </si>
  <si>
    <t>Off - +359 0898 55 22 59.</t>
  </si>
  <si>
    <t>Nikolay@consult.law</t>
  </si>
  <si>
    <t>Aug 8th - Cold email.</t>
  </si>
  <si>
    <t>https://www.f6s.com/jobs/37381/thejuristcompany/cto</t>
  </si>
  <si>
    <t>https://www.linkedin.com/company/consult.law/</t>
  </si>
  <si>
    <t>PackitUp IVS</t>
  </si>
  <si>
    <t>https://packitup.dk/</t>
  </si>
  <si>
    <t>Amalie Kjelstrup</t>
  </si>
  <si>
    <t>amalie@packitup.dk</t>
  </si>
  <si>
    <t>https://angel.co/packitup</t>
  </si>
  <si>
    <t>https://www.linkedin.com/company/packitup-ivs/</t>
  </si>
  <si>
    <t>Shiroi Boushi</t>
  </si>
  <si>
    <t>http://www.shiroiboushi.net/</t>
  </si>
  <si>
    <t>Amin Idris</t>
  </si>
  <si>
    <t xml:space="preserve">M - +600199232473 Off - +603 - 8689 - 0581 </t>
  </si>
  <si>
    <t>amin@shiroiboushi.net</t>
  </si>
  <si>
    <t>Aug 8th - Cold email./Aug 9th - Called Amin office got his Mob no - No answer in mobile - 1st Followup email./Aug 10th - Amin not available.</t>
  </si>
  <si>
    <t>https://angel.co/shiroi-boushi/jobs/406975-front-end-developer</t>
  </si>
  <si>
    <t>https://www.linkedin.com/in/amin-idris-664853b1/</t>
  </si>
  <si>
    <t>Pirsonal</t>
  </si>
  <si>
    <t>https://pirsonal.com</t>
  </si>
  <si>
    <t>Josías De La Espada Sempris</t>
  </si>
  <si>
    <t>Aug 9th - Linkedin Request sent.</t>
  </si>
  <si>
    <t>https://www.f6s.com/jobs/37698/pirsonal/senior-fullstack-developer</t>
  </si>
  <si>
    <t>https://www.linkedin.com/company/pirsonal/</t>
  </si>
  <si>
    <t>Vingineers</t>
  </si>
  <si>
    <t>http://www.vingineers.com</t>
  </si>
  <si>
    <t>Alan Ames</t>
  </si>
  <si>
    <t>alan@vingineers.com / alan.ames@vingineers.com</t>
  </si>
  <si>
    <t>contact@vingineers.com</t>
  </si>
  <si>
    <t>Aug 9th - Cold email - followed via Linkedin.</t>
  </si>
  <si>
    <t>https://www.f6s.com/jobs/37691/vingineers/co-founder</t>
  </si>
  <si>
    <t>https://www.linkedin.com/in/alanames/</t>
  </si>
  <si>
    <t>Splittypay</t>
  </si>
  <si>
    <t>http://www.splittypay.it/</t>
  </si>
  <si>
    <t>Alberto Porzio</t>
  </si>
  <si>
    <t>info@splittypay.it</t>
  </si>
  <si>
    <t>Aug 9th - Cold email./Aug 10th - 1st followup email.</t>
  </si>
  <si>
    <t>https://www.f6s.com/jobs/37685/splittypay/backend-developer</t>
  </si>
  <si>
    <t>https://www.linkedin.com/in/alberto-porzio-999302a6/</t>
  </si>
  <si>
    <t>AIRPLAY TV LTD</t>
  </si>
  <si>
    <t>https://airplaytv.com</t>
  </si>
  <si>
    <t>Femi Oni</t>
  </si>
  <si>
    <t>Aug 9th - Linkedin Request sent - Chatted via Linkedin.</t>
  </si>
  <si>
    <t>https://angel.co/airplay-tv</t>
  </si>
  <si>
    <t>https://www.linkedin.com/company/airplay-tv-ltd/</t>
  </si>
  <si>
    <t>My1Min® - by Technology with a Heart AS</t>
  </si>
  <si>
    <t>https://my1min.com/</t>
  </si>
  <si>
    <t>Thomas A. Lillebo</t>
  </si>
  <si>
    <t>Thomas.lillebo@my1min.com / Thomas@my1min.com</t>
  </si>
  <si>
    <t>hello@my1min.com</t>
  </si>
  <si>
    <t>Aug 9th - Cold email.</t>
  </si>
  <si>
    <t>https://angel.co/my1min</t>
  </si>
  <si>
    <t>https://www.linkedin.com/company/technology-with-a-heart-as/</t>
  </si>
  <si>
    <t>Memento</t>
  </si>
  <si>
    <t>http://www.memento.media/</t>
  </si>
  <si>
    <t>Olga Kravchenko</t>
  </si>
  <si>
    <t>Off - +44 7593 587 828(call charged)</t>
  </si>
  <si>
    <t>Olga@memento.media</t>
  </si>
  <si>
    <t>info@memento.media</t>
  </si>
  <si>
    <t>Aug 9th - Cold email./Aug 10th - No answer - 1st followup email.</t>
  </si>
  <si>
    <t>https://angel.co/memento-4</t>
  </si>
  <si>
    <t>https://www.linkedin.com/company/memento-vr/</t>
  </si>
  <si>
    <t>The Other Dimension 52</t>
  </si>
  <si>
    <t>Fitness</t>
  </si>
  <si>
    <t>Jean-Martin Gauthier</t>
  </si>
  <si>
    <t>idpnneedonethanks@gmail.com</t>
  </si>
  <si>
    <t>https://angel.co/the-other-dimension-52</t>
  </si>
  <si>
    <t>https://www.linkedin.com/in/jean-martin-jm-gauthier-81a3bb15a/</t>
  </si>
  <si>
    <t>Avenue 8</t>
  </si>
  <si>
    <t>http://www.avenue8.ca</t>
  </si>
  <si>
    <t>Veronic Benoit</t>
  </si>
  <si>
    <t>V.Benoit@avenue8.ca</t>
  </si>
  <si>
    <t>https://www.linkedin.com/company/avenue8/</t>
  </si>
  <si>
    <t>https://angel.co/avenue-8-1/jobs/408044-developpeur-front-end</t>
  </si>
  <si>
    <t>https://www.linkedin.com/in/v%C3%A9ronic-benoit-53963628/</t>
  </si>
  <si>
    <t>Xtra PlayAR</t>
  </si>
  <si>
    <t>http://xtraplayar.com/</t>
  </si>
  <si>
    <t>Marcel Isakowitz</t>
  </si>
  <si>
    <t>Marcelisakowitz@aol.com</t>
  </si>
  <si>
    <t>https://www.leadsports.com/mentor/isakowitz</t>
  </si>
  <si>
    <t>http://www.marcelisakowitz.de/</t>
  </si>
  <si>
    <t>Aug 9th - Linkedin Request sent - Chatted via Linkedin./Aug 10th - Marcel enquired about the partnership method.</t>
  </si>
  <si>
    <t>https://angel.co/xtra-playar/jobs/408981-ar-software-engineer-with-project-lead-skills</t>
  </si>
  <si>
    <t>https://www.linkedin.com/in/marcelisakowitz/</t>
  </si>
  <si>
    <t>iWoop</t>
  </si>
  <si>
    <t>https://iwoop.com/</t>
  </si>
  <si>
    <t>Djema Abliakimova</t>
  </si>
  <si>
    <t>Off - +852 5803 6834</t>
  </si>
  <si>
    <t>djema@iwoop.com</t>
  </si>
  <si>
    <t>info@iwoop.com</t>
  </si>
  <si>
    <t>https://angel.co/iwoop</t>
  </si>
  <si>
    <t>https://www.linkedin.com/company/iwoop-ltd/</t>
  </si>
  <si>
    <t>Maja Solutions Sdn. Bhd</t>
  </si>
  <si>
    <t>https://majagames.com</t>
  </si>
  <si>
    <t>Angel G</t>
  </si>
  <si>
    <t>angel_virgo_6583@hotmail.com</t>
  </si>
  <si>
    <t>Aug 10th - Linkedin Request sent - Chatted via Linkedin - not interested In outsourcing.</t>
  </si>
  <si>
    <t>http://startupjobs.asia/job/39848-mobile-apps-developer-it-maja-solutions-sdn-bhd-malaysia</t>
  </si>
  <si>
    <t>https://www.linkedin.com/company/majagames/</t>
  </si>
  <si>
    <t>7C Laboratories</t>
  </si>
  <si>
    <t>https://7c-labs.com/</t>
  </si>
  <si>
    <t>Jesse Brito</t>
  </si>
  <si>
    <t>Off -+1 (866) 350-7151</t>
  </si>
  <si>
    <t>jessebrito@7c-labs.com</t>
  </si>
  <si>
    <t>info@7c-labs.com</t>
  </si>
  <si>
    <t>Aug 10th - Cold email.</t>
  </si>
  <si>
    <t>https://angel.co/7c-laboratories-1</t>
  </si>
  <si>
    <t>https://www.linkedin.com/company/7c-laboratories/</t>
  </si>
  <si>
    <t>Gabbi.AI</t>
  </si>
  <si>
    <t>https://www.gabbi.ai/</t>
  </si>
  <si>
    <t>Roberto Moreno</t>
  </si>
  <si>
    <t>Off - +1-855-224-2575</t>
  </si>
  <si>
    <t>roberto@gabbi.ai</t>
  </si>
  <si>
    <t>https://angel.co/gabbi-ai</t>
  </si>
  <si>
    <t>https://www.linkedin.com/company/gabbi-ai/</t>
  </si>
  <si>
    <t>Innerspace</t>
  </si>
  <si>
    <t>https://www.innerspace.at</t>
  </si>
  <si>
    <t>Sebastian Scheler</t>
  </si>
  <si>
    <t>Off - +43 660 859 51 32</t>
  </si>
  <si>
    <t>Sebastian.Scheler@innerspace.at</t>
  </si>
  <si>
    <t>info@innerspace.at</t>
  </si>
  <si>
    <t>Aug 10th - Cold email - Sebastien responded via mail - at the moment they want to hire the resource.</t>
  </si>
  <si>
    <t>https://angel.co/innerspace-trainings/jobs/405270-unity-developer</t>
  </si>
  <si>
    <t>https://www.linkedin.com/company/innerspace.at/</t>
  </si>
  <si>
    <t>PACLA MEDICAL</t>
  </si>
  <si>
    <t>https://www.robophysio.com</t>
  </si>
  <si>
    <t>Chongsu Lee</t>
  </si>
  <si>
    <t>Off - +44 (0)131 473 2333</t>
  </si>
  <si>
    <t>Chongsu@robophysio.com</t>
  </si>
  <si>
    <t>chongsu@paclamedical.com</t>
  </si>
  <si>
    <t>info@paclamedical.com</t>
  </si>
  <si>
    <t>Aug 10th - Cold email./Aug 16th - No answer - Followed via Linkedin.</t>
  </si>
  <si>
    <t>https://angel.co/pacla-medical-1</t>
  </si>
  <si>
    <t>https://www.linkedin.com/in/chongsu-lee-3600772a/</t>
  </si>
  <si>
    <t>Subsec</t>
  </si>
  <si>
    <t>Artificial Intelligence</t>
  </si>
  <si>
    <t>https://subsec.ai/</t>
  </si>
  <si>
    <t>Peter Timson</t>
  </si>
  <si>
    <t>Peter.Timson@subsec.ai / Peter@subsec.ai</t>
  </si>
  <si>
    <t>https://angel.co/subsec/jobs/407006-software-engineer-developer</t>
  </si>
  <si>
    <t>https://www.linkedin.com/in/timson/detail/contact-info/</t>
  </si>
  <si>
    <t>Ireland</t>
  </si>
  <si>
    <t>Pest Pulse</t>
  </si>
  <si>
    <t>Environmental Services</t>
  </si>
  <si>
    <t>https://www.pestpulse.com</t>
  </si>
  <si>
    <t>John O'Gara</t>
  </si>
  <si>
    <t>Off - +353 1 513 7624</t>
  </si>
  <si>
    <t>Brian@pestpulse.com</t>
  </si>
  <si>
    <t>info@pestpulse.com</t>
  </si>
  <si>
    <t>Aug 10th - Cold email./Aug 16th - No answer - 1st followup email.</t>
  </si>
  <si>
    <t>https://angel.co/pest-pulse/jobs/399843-software-engineer-fullstack</t>
  </si>
  <si>
    <t>https://www.linkedin.com/company/pest-pulse/</t>
  </si>
  <si>
    <t>Crowdmap</t>
  </si>
  <si>
    <t>http://www.crowdmap.io</t>
  </si>
  <si>
    <t>Benjamin Mercier</t>
  </si>
  <si>
    <t>Ben@crowdmap.io</t>
  </si>
  <si>
    <t>contact@crowdmap.io</t>
  </si>
  <si>
    <t>https://angel.co/crowdmap_io</t>
  </si>
  <si>
    <t>https://www.linkedin.com/company/crowdmap/</t>
  </si>
  <si>
    <t>Wecudos</t>
  </si>
  <si>
    <t>http://wecudos.com/</t>
  </si>
  <si>
    <t>Adam Read</t>
  </si>
  <si>
    <t>Adam@wecudos.com</t>
  </si>
  <si>
    <t>enquiries@wecudos.com</t>
  </si>
  <si>
    <t>https://angel.co/wecudos-1/jobs/400491-chief-technology-officer</t>
  </si>
  <si>
    <t>https://www.linkedin.com/in/dr-adam-read-03190455/</t>
  </si>
  <si>
    <t>Beez</t>
  </si>
  <si>
    <t>https://www.beez.world</t>
  </si>
  <si>
    <t>Michael Nagler</t>
  </si>
  <si>
    <t>Michael.Nagler@beez.world / Michael@beez.world</t>
  </si>
  <si>
    <t>info@beez.world</t>
  </si>
  <si>
    <t>https://angel.co/beezworld/jobs/403851-engineers-developer-designer</t>
  </si>
  <si>
    <t>https://www.linkedin.com/in/michael-nagler-7353bb128/</t>
  </si>
  <si>
    <t>PostCo</t>
  </si>
  <si>
    <t>https://postco.com.my/</t>
  </si>
  <si>
    <t>Nicolas Chin</t>
  </si>
  <si>
    <t>Nicolas@postco.com.my</t>
  </si>
  <si>
    <t>info@postco.com.my</t>
  </si>
  <si>
    <t>Aug 15th - Cold email.</t>
  </si>
  <si>
    <t>http://startupjobs.asia/job/39877-ui-ux-lead-ui-ux-postco-malaysia</t>
  </si>
  <si>
    <t>https://www.linkedin.com/company/postco-my/</t>
  </si>
  <si>
    <t>DoctorXDentist</t>
  </si>
  <si>
    <t>https://www.doctorxdentist.com/</t>
  </si>
  <si>
    <t>Phoebe Kwan</t>
  </si>
  <si>
    <t>admin@doctorxdentist.com</t>
  </si>
  <si>
    <t>Aug 15th - Linkedin request sent.</t>
  </si>
  <si>
    <t>http://startupjobs.asia/job/39923-full-stack-lead-developer-familiar-with-javascript-and-mean-stack-knowledge-full-stack-developer-doctorxdentist-singapore</t>
  </si>
  <si>
    <t>https://www.linkedin.com/company/doctorxdentist/</t>
  </si>
  <si>
    <t>Hapz</t>
  </si>
  <si>
    <t>https://www.hapz.com/</t>
  </si>
  <si>
    <t>Lai Xin Chu</t>
  </si>
  <si>
    <t>Off - +65 6635 1369</t>
  </si>
  <si>
    <t>hello@hapz.com</t>
  </si>
  <si>
    <t>Aug 15th - Cold email./Aug 16th - Spoke with Lai - Looking for inhouse hire.</t>
  </si>
  <si>
    <t>http://startupjobs.asia/job/39861-tech-lead-it-hapz-singapore</t>
  </si>
  <si>
    <t>https://www.linkedin.com/company/hapz/</t>
  </si>
  <si>
    <t>Helicap</t>
  </si>
  <si>
    <t>http://heli-cap.com/</t>
  </si>
  <si>
    <t>David Z Wang</t>
  </si>
  <si>
    <t>Off - +65 9785 7433</t>
  </si>
  <si>
    <t>Dzw@heli-cap.com</t>
  </si>
  <si>
    <t>info@heli-cap.com</t>
  </si>
  <si>
    <t>Aug 15th - Cold email./Aug 16th - David not available.</t>
  </si>
  <si>
    <t>https://www.techinasia.com/jobs/cc88fd6d-c381-407b-a223-0add6f35eae6</t>
  </si>
  <si>
    <t>https://www.linkedin.com/company/heli-cap/</t>
  </si>
  <si>
    <t>Thailand</t>
  </si>
  <si>
    <t>Pupil Labs</t>
  </si>
  <si>
    <t>Moritz Kassner</t>
  </si>
  <si>
    <t>https://www.techinasia.com/jobs/30d6fa5b-5239-4537-b82f-4b45242c4955</t>
  </si>
  <si>
    <t>https://www.linkedin.com/in/moritz-kassner-9a470628/</t>
  </si>
  <si>
    <t>Contaxer</t>
  </si>
  <si>
    <t>https://www.contaxer.com</t>
  </si>
  <si>
    <t>Hasan C. Orhan</t>
  </si>
  <si>
    <t>M - +90 5323315220</t>
  </si>
  <si>
    <t>Hasan@contaxer.com</t>
  </si>
  <si>
    <t>hasancanorhan@gmail.com</t>
  </si>
  <si>
    <t>Aug 15th - Cold email./Aug 16th - No answer - Followed via Linkedin - Connected in Skype - Conf call with Prabha -Discussed the PHP req.</t>
  </si>
  <si>
    <t>https://www.f6s.com/jobs/37806/contaxer/php-developer</t>
  </si>
  <si>
    <t>https://www.linkedin.com/company/contaxer/</t>
  </si>
  <si>
    <t>Wonderlander</t>
  </si>
  <si>
    <t>Fashion</t>
  </si>
  <si>
    <t>Sabina Y. Tang</t>
  </si>
  <si>
    <t>https://www.f6s.com/jobs/37794/wonderlander/co-founder-cto</t>
  </si>
  <si>
    <t>https://www.linkedin.com/in/sabina-y-tang-50ba4566/</t>
  </si>
  <si>
    <t>ISHU</t>
  </si>
  <si>
    <t>Computer Security</t>
  </si>
  <si>
    <t>https://www.theishu.com</t>
  </si>
  <si>
    <t>Saif Siddiqui</t>
  </si>
  <si>
    <t>Saif@theishu.com</t>
  </si>
  <si>
    <t>saif.sudoku@gmail.com</t>
  </si>
  <si>
    <t>info@theishu.com</t>
  </si>
  <si>
    <t>https://www.f6s.com/jobs/37787/ishu/graphic-designer</t>
  </si>
  <si>
    <t>https://www.linkedin.com/in/saif-siddiqui-63b23759/</t>
  </si>
  <si>
    <t>Money Mall</t>
  </si>
  <si>
    <t>https://moneymall.ae/</t>
  </si>
  <si>
    <t>Nikunj Soni</t>
  </si>
  <si>
    <t>M - 971563288711 / Off -  +971 079847 78101</t>
  </si>
  <si>
    <t>thenikunjsoni@yahoo.com</t>
  </si>
  <si>
    <t>ask@nikunjsoni.in</t>
  </si>
  <si>
    <t>http://www.nikunjsoni.in/</t>
  </si>
  <si>
    <t>Aug 15th - Cold email./Aug 16th - Tried reaching Mobile - No answer - Followedup via Linkedin.</t>
  </si>
  <si>
    <t>https://www.f6s.com/jobs/37783/moneymall/tech-lead</t>
  </si>
  <si>
    <t>https://www.linkedin.com/company/money-mall/</t>
  </si>
  <si>
    <t>dotGIS</t>
  </si>
  <si>
    <t>https://www.dotgiscorp.com</t>
  </si>
  <si>
    <t>Miguel Fernandez</t>
  </si>
  <si>
    <t>Off - +34 645 91 83 84</t>
  </si>
  <si>
    <t>MFernandeza@dotgiscorp.com</t>
  </si>
  <si>
    <t>info@dotgiscorp.com</t>
  </si>
  <si>
    <t>Aug 15th - Cold email./Aug 16th - No answer - Followed via Linkedin.</t>
  </si>
  <si>
    <t>https://www.f6s.com/jobs/37782/dotgis/desarrollador-a-frontend</t>
  </si>
  <si>
    <t>https://www.linkedin.com/company/dotgis/</t>
  </si>
  <si>
    <t>Peru</t>
  </si>
  <si>
    <t>Quaira</t>
  </si>
  <si>
    <t>https://quaira.com</t>
  </si>
  <si>
    <t>Renzo Castillo Cáceres</t>
  </si>
  <si>
    <t>Renzo.Castillo@quaira.com</t>
  </si>
  <si>
    <t>websites@quaira.com</t>
  </si>
  <si>
    <t>https://www.f6s.com/jobs/37766/quaira/ui-ux-designer</t>
  </si>
  <si>
    <t>https://www.linkedin.com/company/quaira/</t>
  </si>
  <si>
    <t>CashCoach</t>
  </si>
  <si>
    <t>https://cashcoach.co/</t>
  </si>
  <si>
    <t>Sam Abrika</t>
  </si>
  <si>
    <t>Sam@cashcoach.co / Sam.Abrika@cashcoach.co</t>
  </si>
  <si>
    <t>hello@cashcoach.co</t>
  </si>
  <si>
    <t>Sam.Abrika@gmail.com</t>
  </si>
  <si>
    <t>https://www.f6s.com/jobs/37757/cashcoach/head-of-mobile-development-cto</t>
  </si>
  <si>
    <t>https://www.linkedin.com/in/sam-abrika/</t>
  </si>
  <si>
    <t>London</t>
  </si>
  <si>
    <t>VR:CALM</t>
  </si>
  <si>
    <t>Augument/Virtual Reality</t>
  </si>
  <si>
    <t>https://www.vrcalm.co.uk/</t>
  </si>
  <si>
    <t>Hannah Blair</t>
  </si>
  <si>
    <t>hello@hannahblair.co.uk</t>
  </si>
  <si>
    <t>Sep 17th - Cold email.</t>
  </si>
  <si>
    <t>https://angel.co/vr-calm</t>
  </si>
  <si>
    <t>https://www.linkedin.com/company/vr-calm/</t>
  </si>
  <si>
    <t>Dubai</t>
  </si>
  <si>
    <t>PharmaVgate Academy</t>
  </si>
  <si>
    <t>http://pharmavgate.com</t>
  </si>
  <si>
    <t>Sara Ramadan</t>
  </si>
  <si>
    <t>Off - +971 561 520882</t>
  </si>
  <si>
    <t>info@pharmavgate.com</t>
  </si>
  <si>
    <t>https://angel.co/pharmavgate-academy</t>
  </si>
  <si>
    <t>https://www.linkedin.com/company/pharmavgate-academy/</t>
  </si>
  <si>
    <t>Brooklyn</t>
  </si>
  <si>
    <t>3DApartment</t>
  </si>
  <si>
    <t>https://3dapartment.com</t>
  </si>
  <si>
    <t>Christopher Dowd</t>
  </si>
  <si>
    <t>gregory@3DApartment.com / christopher@3DApartment.com</t>
  </si>
  <si>
    <t>https://angel.co/3dapartment</t>
  </si>
  <si>
    <t>https://www.linkedin.com/company/3dapartment/</t>
  </si>
  <si>
    <t>Austin</t>
  </si>
  <si>
    <t>BrightAngle</t>
  </si>
  <si>
    <t>Education - AR VR</t>
  </si>
  <si>
    <t>https://bright-angle.com</t>
  </si>
  <si>
    <t>Brittany Hicks</t>
  </si>
  <si>
    <t>Brittany@bright-angle.com</t>
  </si>
  <si>
    <t>https://angel.co/bright-angle-1</t>
  </si>
  <si>
    <t>https://www.linkedin.com/company/brightangle/</t>
  </si>
  <si>
    <t>Los Angels</t>
  </si>
  <si>
    <t>Koi Story Studio</t>
  </si>
  <si>
    <t>http://www.livelovekoi.com/</t>
  </si>
  <si>
    <t>Dawn Thomas</t>
  </si>
  <si>
    <t>Dawn@livelovekoi.com</t>
  </si>
  <si>
    <t>https://angel.co/koi-story-studio</t>
  </si>
  <si>
    <t>https://www.linkedin.com/company/koistorystudio/</t>
  </si>
  <si>
    <t>Dallas</t>
  </si>
  <si>
    <t>Rebel Role Model</t>
  </si>
  <si>
    <t>https://www.rebelrolemodel.com</t>
  </si>
  <si>
    <t>Nancy Coblenz</t>
  </si>
  <si>
    <t>Off - +1 (469) 708-7031</t>
  </si>
  <si>
    <t>nancy@rebelrolemodel.com / Rebel@RebelRoleModel.com</t>
  </si>
  <si>
    <t>Sep 17th - Cold email - Connected via Linkedin - They have inhouse team - Open for future opportunity.</t>
  </si>
  <si>
    <t>https://angel.co/rebel-role-model</t>
  </si>
  <si>
    <t>https://www.linkedin.com/company/rebelrolemodel/</t>
  </si>
  <si>
    <t>AVNT</t>
  </si>
  <si>
    <t>http://avnt.space/</t>
  </si>
  <si>
    <t>Finn Wolff</t>
  </si>
  <si>
    <t>Off - +1 801-913-5322</t>
  </si>
  <si>
    <t>Finn@avnt.space</t>
  </si>
  <si>
    <t>finnwolff@berkeley.edu</t>
  </si>
  <si>
    <t>Sep 19th - Linkedin request sent.</t>
  </si>
  <si>
    <t>https://www.f6s.com/jobs/38253/avnt/c-developer-augmented-reality</t>
  </si>
  <si>
    <t>https://www.linkedin.com/company/avnt/</t>
  </si>
  <si>
    <t>iMotorbike.com</t>
  </si>
  <si>
    <t>https://imotorbike.my</t>
  </si>
  <si>
    <t>Miguel Enes</t>
  </si>
  <si>
    <t>Miguel.Enes@imotorbike.my</t>
  </si>
  <si>
    <t>Oct 3rd - Cold email sent - Miguel responded 'hiring inhouse devs'.</t>
  </si>
  <si>
    <t>http://startupjobs.asia/job/40739--full-stack-developer-full-stack-developer-imotorbike-malaysia</t>
  </si>
  <si>
    <t>https://www.linkedin.com/company/imotorbike/</t>
  </si>
  <si>
    <t>Zing Healthcare Sdn Bhd</t>
  </si>
  <si>
    <t>http://www.vita.net.my</t>
  </si>
  <si>
    <t>Off - +(603) 89222988</t>
  </si>
  <si>
    <t>support@vita.net.my</t>
  </si>
  <si>
    <t>Oct 3rd - Cold email sent./Oct 9th - No proper response./Oct 12th - 1st followup email.</t>
  </si>
  <si>
    <t>http://startupjobs.asia/job/40716-full-stack-developer-cum-system-admin-it-zing-healthcare-sdn-bhd-malaysia</t>
  </si>
  <si>
    <t>https://www.linkedin.com/company/zinghealth/</t>
  </si>
  <si>
    <t>Street Life ME</t>
  </si>
  <si>
    <t>http://www.streetlifedxb.com</t>
  </si>
  <si>
    <t>Fabian Dagostin</t>
  </si>
  <si>
    <t>Oct 3rd - Linkedin request sent.</t>
  </si>
  <si>
    <t>https://www.f6s.com/jobs/38433/streetlife/full-stack-developer</t>
  </si>
  <si>
    <t>https://www.linkedin.com/company/streetlifeme/</t>
  </si>
  <si>
    <t>Switcherland</t>
  </si>
  <si>
    <t xml:space="preserve"> Syntherion</t>
  </si>
  <si>
    <t>Christian Hugo Hoffmann</t>
  </si>
  <si>
    <t>christian-hugo-hoffmann@live.de</t>
  </si>
  <si>
    <t>https://www.f6s.com/jobs/38417/syntherion/cto</t>
  </si>
  <si>
    <t>https://www.linkedin.com/in/dr-christian-hugo-hoffmann-117601100/</t>
  </si>
  <si>
    <t>Quanterium Technologies</t>
  </si>
  <si>
    <t>https://quanterium.tech</t>
  </si>
  <si>
    <t>Alex Koumpas</t>
  </si>
  <si>
    <t>Alex.Koumpas@quanterium.tech/Alex@quanterium.tech</t>
  </si>
  <si>
    <t>enquiry@quanterium.tech</t>
  </si>
  <si>
    <t>Oct 3rd - Cold email sent./Oct 9th - 1st followup email./Oct 10th - Alex responded - asked questions.</t>
  </si>
  <si>
    <t>https://www.f6s.com/jobs/38402/quanteriumtech/software-engineer</t>
  </si>
  <si>
    <t>https://www.linkedin.com/company/quanterium/</t>
  </si>
  <si>
    <t>fweels</t>
  </si>
  <si>
    <t>https://fweels.com/</t>
  </si>
  <si>
    <t>Ben Howard</t>
  </si>
  <si>
    <t>Ben@fweels.com</t>
  </si>
  <si>
    <t>Oct 3rd - Cold email sent./Oct 9th - 1st followup email.</t>
  </si>
  <si>
    <t>https://www.f6s.com/jobs/38332/fweels/cto-co-founder-remote-or-cambridge</t>
  </si>
  <si>
    <t>https://www.linkedin.com/company/fweels/</t>
  </si>
  <si>
    <t>ULTRA IoT</t>
  </si>
  <si>
    <t>https://www.ultra-iot.com</t>
  </si>
  <si>
    <t>Antoine Zenie</t>
  </si>
  <si>
    <t>antoine.zenie@ultra-iot.com</t>
  </si>
  <si>
    <t>contact@ultra-iot.com</t>
  </si>
  <si>
    <t>https://www.f6s.com/jobs/38331/ultraiot/senior-software-developer</t>
  </si>
  <si>
    <t>https://www.linkedin.com/company/ultraiot/</t>
  </si>
  <si>
    <t>Sitemate</t>
  </si>
  <si>
    <t>https://sitemate.com/</t>
  </si>
  <si>
    <t>Sam McDonnell</t>
  </si>
  <si>
    <t>Sam@sitemate.com</t>
  </si>
  <si>
    <t>info@sitemate.com</t>
  </si>
  <si>
    <t>https://workroll.com/jobs/senior-software-engineer-sitemate-remote</t>
  </si>
  <si>
    <t>https://www.linkedin.com/company/sitemate-technologies/</t>
  </si>
  <si>
    <t>PoweredLocal</t>
  </si>
  <si>
    <t>https://www.poweredlocal.com.au</t>
  </si>
  <si>
    <t>Denis Mysenko</t>
  </si>
  <si>
    <t>Off - +61 390 13 43 23</t>
  </si>
  <si>
    <t>denis@mysenko.com</t>
  </si>
  <si>
    <t>Oct 3rd - Contacted via company page./Oct 9th - Unable to reach.</t>
  </si>
  <si>
    <t>https://workroll.com/jobs/full-time-senior-developer-poweredlocal-prahran-australia</t>
  </si>
  <si>
    <t>https://www.linkedin.com/company/poweredlocal/</t>
  </si>
  <si>
    <t>FlowPress</t>
  </si>
  <si>
    <t>https://www.flowpress.com/</t>
  </si>
  <si>
    <t>Ben Fox</t>
  </si>
  <si>
    <t>ben@flowpress.com</t>
  </si>
  <si>
    <t>https://weworkremotely.com/remote-jobs/flowpress-senior-wordpress-developer-1</t>
  </si>
  <si>
    <t>Japan</t>
  </si>
  <si>
    <t>Medmain Inc</t>
  </si>
  <si>
    <t>https://medmain.net/</t>
  </si>
  <si>
    <t>Osamu Iizuka</t>
  </si>
  <si>
    <t>Iizuka@medmain.net</t>
  </si>
  <si>
    <t>okamoto@medmain.net</t>
  </si>
  <si>
    <t>https://weworkremotely.com/remote-jobs/webpunch-senior-developer</t>
  </si>
  <si>
    <t>https://www.linkedin.com/in/osamu-iizuka/</t>
  </si>
  <si>
    <t>WebPunch</t>
  </si>
  <si>
    <t>https://webpunch12.com</t>
  </si>
  <si>
    <t>Matt Jones</t>
  </si>
  <si>
    <t>Off - +1 303 229 0051</t>
  </si>
  <si>
    <t>matt@webpunch12.com</t>
  </si>
  <si>
    <t>hello@webpunch12.com</t>
  </si>
  <si>
    <t>Oct 3rd - Cold email sent./Oct 12th - 1st followup email.</t>
  </si>
  <si>
    <t>https://www.linkedin.com/company/webpunch/</t>
  </si>
  <si>
    <t>Alt &amp; Dot</t>
  </si>
  <si>
    <t>http://www.altanddot.com</t>
  </si>
  <si>
    <t>Emily Moss</t>
  </si>
  <si>
    <t>Emily.Moss@altanddot.com / Emily@altanddot.com</t>
  </si>
  <si>
    <t>joinus@altanddot.com</t>
  </si>
  <si>
    <t>Oct 3rd - Cold email sent./Oct 4th - Emily responded - looking for individual contributors.</t>
  </si>
  <si>
    <t>https://www.linkedin.com/company/alt-dot/</t>
  </si>
  <si>
    <t>A LITTLE FIND</t>
  </si>
  <si>
    <t>https://alittlefind.com/</t>
  </si>
  <si>
    <t>Caroline Jacobs</t>
  </si>
  <si>
    <t>Off - +44 02087315286</t>
  </si>
  <si>
    <t>Caroline@alittlefind.com</t>
  </si>
  <si>
    <t>Oct 3rd - Cold email sent./Oct 9th - Job posting removed.</t>
  </si>
  <si>
    <t>https://workinstartups.com/job-board/job/73580/developer-to-help-improve-shopify-store-at-a-little-find/</t>
  </si>
  <si>
    <t>https://www.linkedin.com/company/a-little-find-ltd/</t>
  </si>
  <si>
    <t>Incentive Games</t>
  </si>
  <si>
    <t>Consumer Services</t>
  </si>
  <si>
    <t>https://www.incentivegames.com</t>
  </si>
  <si>
    <t>John Gordon</t>
  </si>
  <si>
    <t>John@incentivegames.com</t>
  </si>
  <si>
    <t>Oct 10th - Cold email sent./Oct 12th - 1st followup email.</t>
  </si>
  <si>
    <t>https://workinstartups.com/job-board/job/72814/lead-technology-officer-at-incentive-games/</t>
  </si>
  <si>
    <t>https://www.linkedin.com/company/incentivegames/</t>
  </si>
  <si>
    <t>Hitchbird</t>
  </si>
  <si>
    <t>Leisure, Travel &amp; Tourism</t>
  </si>
  <si>
    <t>https://www.hitchbird.com</t>
  </si>
  <si>
    <t>Hoi Cheung</t>
  </si>
  <si>
    <t>Off - +6011 2698 6450</t>
  </si>
  <si>
    <t>Hoi@hitchbird.com</t>
  </si>
  <si>
    <t>info@hitchbird.com</t>
  </si>
  <si>
    <t>Oct 8th - Cold email sent./Oct  9th - No answer - 1st followup email./Oct 12th - Not a good call - Asked to send email.</t>
  </si>
  <si>
    <t>http://startupjobs.asia/job/40519-senior-ui-ux-developer-ui-ux-hitchbird-malaysia</t>
  </si>
  <si>
    <t>https://www.linkedin.com/company/hitchbird/</t>
  </si>
  <si>
    <t>Propine Capital</t>
  </si>
  <si>
    <t>https://www.propinecapital.com/</t>
  </si>
  <si>
    <t>Liang Zan Wong</t>
  </si>
  <si>
    <t>Off -  +65-97510945</t>
  </si>
  <si>
    <t>zan@propinecapital.com</t>
  </si>
  <si>
    <t>contact@propinecapital.com</t>
  </si>
  <si>
    <t>https://liangzan.net/</t>
  </si>
  <si>
    <t>Oct 8th - Cold email sent./Oct  9th - No answer - 1st followup email./Oct 12th - No answer - 2nd followup email - Tuhina(CEO) responded - Position is filled.</t>
  </si>
  <si>
    <t xml:space="preserve">http://startupjobs.asia/job/40435-ux-designer-ui-ux-propine-capital-singapore </t>
  </si>
  <si>
    <t>https://www.linkedin.com/company/propine-capital/</t>
  </si>
  <si>
    <t>CtrlWorks Pte Ltd</t>
  </si>
  <si>
    <t>http://www.ctrlworks.com</t>
  </si>
  <si>
    <t>Sim Kai</t>
  </si>
  <si>
    <t>Off - +65 9635 7276 / +65 6802 0000</t>
  </si>
  <si>
    <t>kaisim@ctrlworks.com</t>
  </si>
  <si>
    <t>Oct 8th - Cold email sent./Oct 9th - Wrong number - 1st followup email./Oct 12th - 2nd followup email send.</t>
  </si>
  <si>
    <t>http://startupjobs.asia/job/40824-software-engineer-it-ctrlworks-pte-ltd-anywhere</t>
  </si>
  <si>
    <t>https://www.linkedin.com/company/ctrlworks/</t>
  </si>
  <si>
    <t>Healthzilla</t>
  </si>
  <si>
    <t>https://www.healthzilla.ai/</t>
  </si>
  <si>
    <t xml:space="preserve">Laura Ranin </t>
  </si>
  <si>
    <t>laura@healthzilla.ai</t>
  </si>
  <si>
    <t>Oct 8th - Cold email sent./Oct 10th - 1st followup email - Laura responded - bad experince in outsourcing.</t>
  </si>
  <si>
    <t>http://startupjobs.asia/job/40789-ios-developer-full-stack-developer-healthzilla-singapore</t>
  </si>
  <si>
    <t>https://www.linkedin.com/company/-missionready/</t>
  </si>
  <si>
    <t>Upstack Studio</t>
  </si>
  <si>
    <t>https://upstackstudio.com/</t>
  </si>
  <si>
    <t>Adrian Ching</t>
  </si>
  <si>
    <t>Adrian@upstackstudio.com</t>
  </si>
  <si>
    <t>Oct 8th - Cold email sent./Oct 10th - 1st followup email.</t>
  </si>
  <si>
    <t>http://startupjobs.asia/job/40773-ruby-on-rails-developer-full-stack-developer-upstack-studio-malaysia</t>
  </si>
  <si>
    <t>https://www.linkedin.com/company/upstack-studio/</t>
  </si>
  <si>
    <t>MobileOne Technology Sdn Bhd</t>
  </si>
  <si>
    <t>http://www.mobileone.com.my/</t>
  </si>
  <si>
    <t>Benny Toh</t>
  </si>
  <si>
    <t>bennytoh@mobileone.com.my</t>
  </si>
  <si>
    <t>Oct 8th - Cold email sent./Oct 10th - Followed via Linkedin.</t>
  </si>
  <si>
    <t>https://www.techinasia.com/jobs/fe4ad92a-f0f4-44c0-bfcd-2b76b2627819</t>
  </si>
  <si>
    <t>https://www.linkedin.com/company/mobileone-technology-sdn-bhd/</t>
  </si>
  <si>
    <t>Clutche Tech Inc</t>
  </si>
  <si>
    <t>https://www.getclutche.com/</t>
  </si>
  <si>
    <t>Brett Davidoff</t>
  </si>
  <si>
    <t>BDavidoff@clutchetech.com</t>
  </si>
  <si>
    <t>https://www.f6s.com/jobs/38472/clutchtechinc/full-stack-developer</t>
  </si>
  <si>
    <t>https://www.linkedin.com/company/clutche-tech-inc/</t>
  </si>
  <si>
    <t>HPAcoin</t>
  </si>
  <si>
    <t>Angelo Paduano</t>
  </si>
  <si>
    <t>Oct 8th - Linkedin request sent.</t>
  </si>
  <si>
    <t>https://www.f6s.com/jobs/38464/hpacoin/ios-and-android-app-development</t>
  </si>
  <si>
    <t>Elysian AI</t>
  </si>
  <si>
    <t>https://vendiapp.com/</t>
  </si>
  <si>
    <t>Anil Rao</t>
  </si>
  <si>
    <t>Oct 8th - Linkedin request sent - Connected over Linkedin./Oct 9th - Asked the APP links./Oct 12th - Found the developer.</t>
  </si>
  <si>
    <t>https://workinstartups.com/job-board/job/73674/ios-app-developer-for-peer-to-peer-pre-owned-goods-marketplace-at-elysian-ai-product-vendi/</t>
  </si>
  <si>
    <t>https://www.linkedin.com/company/elysian-ai/?originalSubdomain=in</t>
  </si>
  <si>
    <t>Twigdoo</t>
  </si>
  <si>
    <t>https://www.twigdoo.com/</t>
  </si>
  <si>
    <t>Matt W</t>
  </si>
  <si>
    <t>Matt.Wilson@twigdoo.com / Matt@twigdoo.com</t>
  </si>
  <si>
    <t>hello@twigdoo.com</t>
  </si>
  <si>
    <t>https://workinstartups.com/job-board/job/73668/python-developer-partfull-stack-early-stage-startup-at-twigdoo/</t>
  </si>
  <si>
    <t>https://www.linkedin.com/company/twigdoo/</t>
  </si>
  <si>
    <t>ORDA</t>
  </si>
  <si>
    <t>https://www.orda-app.com/</t>
  </si>
  <si>
    <t>Tibor Peter Juras</t>
  </si>
  <si>
    <t>Off - +49 176 68283178</t>
  </si>
  <si>
    <t>Chris@orda-app.com</t>
  </si>
  <si>
    <t>kontakt@orda-app.com</t>
  </si>
  <si>
    <t>Oct 9th - Cold email sent./Oct 10th - No answer - 1st followup email./Oct 12th - No answer - 2nd followup email - Chris responded - Looking for inhouse developers.</t>
  </si>
  <si>
    <t>https://www.f6s.com/jobs/38496/orda/software-engineer</t>
  </si>
  <si>
    <t>https://www.linkedin.com/company/orda-technologies/</t>
  </si>
  <si>
    <t>AIO Fitness UK Ltd</t>
  </si>
  <si>
    <t>https://www.aiofitnessuk.com/</t>
  </si>
  <si>
    <t>Xinyu Cui</t>
  </si>
  <si>
    <t>xinyu@aiofitnessuk.com</t>
  </si>
  <si>
    <t>info@aiofitnessuk.com</t>
  </si>
  <si>
    <t>Oct 9th - Cold email sent./Oct 12th - 1st followup email.</t>
  </si>
  <si>
    <t>https://workinstartups.com/job-board/job/73712/ios-developer-at-aio-fitness-uk-ltd/</t>
  </si>
  <si>
    <t>https://www.linkedin.com/company/aio-fitness-uk-ltd/</t>
  </si>
  <si>
    <t>Stockflare</t>
  </si>
  <si>
    <t>https://stockflare.com</t>
  </si>
  <si>
    <t>Shane Leonard</t>
  </si>
  <si>
    <t>Off - +44 07801549537</t>
  </si>
  <si>
    <t>shane.leonard@stockflare.com</t>
  </si>
  <si>
    <t>info@stockflare.com</t>
  </si>
  <si>
    <t>Oct 9th - Cold email sent./Oct 10th - No answer - 1st followup email./Oct 12th - No answer - 2nd followup email.</t>
  </si>
  <si>
    <t>https://workinstartups.com/job-board/job/73702/full-stack-dev-junior-level-at-high-growth-fintech-at-stockflare/</t>
  </si>
  <si>
    <t>https://www.linkedin.com/company/instense-limited/</t>
  </si>
  <si>
    <t>Nameless Interactive</t>
  </si>
  <si>
    <t>http://n-interactive.com/</t>
  </si>
  <si>
    <t>Nick Rosier</t>
  </si>
  <si>
    <t>Off - +44 7533222919</t>
  </si>
  <si>
    <t>nick@n-interactive.com</t>
  </si>
  <si>
    <t>https://workinstartups.com/job-board/job/73690/unity-developer-for-theme-park-projects-at-nameless-interactive/</t>
  </si>
  <si>
    <t>https://www.linkedin.com/company/n-int/</t>
  </si>
  <si>
    <t>Nimbla</t>
  </si>
  <si>
    <t>https://www.nimbla.com</t>
  </si>
  <si>
    <t>Ania Kubow</t>
  </si>
  <si>
    <t>Off - +44 1423 222 417</t>
  </si>
  <si>
    <t>ania@nimbla.com</t>
  </si>
  <si>
    <t>simon@nimbla.com</t>
  </si>
  <si>
    <t>Oct 9th - Cold email sent./Oct 10th - Gatekeeper said Simon is the right person to discuss on this requirement - Simon responded - they are already working with a team.</t>
  </si>
  <si>
    <t>https://workinstartups.com/job-board/job/73661/full-stack-developer-at-nimbla-at-nimbla/</t>
  </si>
  <si>
    <t>https://www.linkedin.com/company/nimbla/</t>
  </si>
  <si>
    <t>Venturist</t>
  </si>
  <si>
    <t>https://www.venturist.io/</t>
  </si>
  <si>
    <t>Nick Ross</t>
  </si>
  <si>
    <t>Off - +44 020 7796 0151/M - +44 07799693306</t>
  </si>
  <si>
    <t>Nick@venturist.io</t>
  </si>
  <si>
    <t>hello@venturist.io</t>
  </si>
  <si>
    <t>Oct 9th - Cold email sent./Oct 10th - No answer - 1st followup email.</t>
  </si>
  <si>
    <t>https://workinstartups.com/job-board/job/73657/tech-lead-at-venturist/</t>
  </si>
  <si>
    <t>https://www.linkedin.com/company/venturist/</t>
  </si>
  <si>
    <t>Squirrel Financial Wellbeing</t>
  </si>
  <si>
    <t>https://squirrel.me/</t>
  </si>
  <si>
    <t>Tomasz Paczkowski</t>
  </si>
  <si>
    <t>Off- +44 20 7183 6688</t>
  </si>
  <si>
    <t>tomek@squirrel.me</t>
  </si>
  <si>
    <t>Oct 9th - Cold email sent - Tomak responded - Not interested.</t>
  </si>
  <si>
    <t>https://workinstartups.com/job-board/job/73630/full-stack-developer-leading-london-fintech-at-squirrel/</t>
  </si>
  <si>
    <t>https://www.linkedin.com/company/squirrel-financial-wellbeing/</t>
  </si>
  <si>
    <t>sync.money</t>
  </si>
  <si>
    <t>https://sync.money/</t>
  </si>
  <si>
    <t>Ricky Lee</t>
  </si>
  <si>
    <t>Oct 9th - Linkedin message via Sales Navigator.</t>
  </si>
  <si>
    <t>https://workinstartups.com/job-board/job/73623/backend-developer-at-syncmoney/</t>
  </si>
  <si>
    <t>https://www.linkedin.com/company/sync-money/</t>
  </si>
  <si>
    <t>Migacore Technologies</t>
  </si>
  <si>
    <t>Airlines/Aviation</t>
  </si>
  <si>
    <t>https://www.migacore.com/</t>
  </si>
  <si>
    <t>George Brova</t>
  </si>
  <si>
    <t>george@migacore.com</t>
  </si>
  <si>
    <t>https://workinstartups.com/job-board/job/73594/full-stack-engineer-at-migacore-technologies/</t>
  </si>
  <si>
    <t>https://www.linkedin.com/company/migacore/</t>
  </si>
  <si>
    <t>Chronomics, Ltd</t>
  </si>
  <si>
    <t>Biotechnology</t>
  </si>
  <si>
    <t>https://www.chronomics.com</t>
  </si>
  <si>
    <t>Tom Stubbs</t>
  </si>
  <si>
    <t>Off - +44 0 2077857383</t>
  </si>
  <si>
    <t>Tom@chronomics.co.uk</t>
  </si>
  <si>
    <t>Oct 9th - Cold email sent./Oct 10th - Gatekeeper - Tom not in - Best way to reach is email - 1st followup email./Oct 12th - Job posting removed - 2nd followup email.</t>
  </si>
  <si>
    <t>https://workinstartups.com/job-board/job/73591/front-end-react-developer-freelanceremote-at-chronomics/</t>
  </si>
  <si>
    <t>https://www.linkedin.com/company/chronomics/</t>
  </si>
  <si>
    <t>Therapy Box</t>
  </si>
  <si>
    <t>Program Development</t>
  </si>
  <si>
    <t>https://www.therapy-box.co.uk</t>
  </si>
  <si>
    <t>Rebecca Bright</t>
  </si>
  <si>
    <t>Off - +44(0)208 7493474</t>
  </si>
  <si>
    <t>rbright@therapy-box.co.uk</t>
  </si>
  <si>
    <t>Oct 9th - Cold email sent./Oct 10th - They do not work with agencies.</t>
  </si>
  <si>
    <t>https://workinstartups.com/job-board/job/73561/full-stack-web-developer-at-therapy-box/</t>
  </si>
  <si>
    <t>https://www.linkedin.com/company/therapy-box/</t>
  </si>
  <si>
    <t>SportPursuit</t>
  </si>
  <si>
    <t>Sporting Goods</t>
  </si>
  <si>
    <t>https://www.sportpursuit.com/</t>
  </si>
  <si>
    <t>Steve Blake</t>
  </si>
  <si>
    <t>steve.blake@sportpursuit.com</t>
  </si>
  <si>
    <t>https://workinstartups.com/job-board/job/73555/junior-full-stack-phpjs-developer-at-sportpursuit/</t>
  </si>
  <si>
    <t>https://www.linkedin.com/company/sportpursuit/</t>
  </si>
  <si>
    <t>Verlocal</t>
  </si>
  <si>
    <t>https://www.verlocal.com/</t>
  </si>
  <si>
    <t>Will Lee</t>
  </si>
  <si>
    <t>Off - +1  (800) 599-8869</t>
  </si>
  <si>
    <t>will@verlocal.com</t>
  </si>
  <si>
    <t>https://www.techinasia.com/jobs/2a40d5e8-f379-4494-aa2a-30b32335c0a0</t>
  </si>
  <si>
    <t>https://www.linkedin.com/company/verlocal/</t>
  </si>
  <si>
    <t>Travalr</t>
  </si>
  <si>
    <t>http://travalr.com/</t>
  </si>
  <si>
    <t>Off - +65 90051713</t>
  </si>
  <si>
    <t>hr@travalr.com</t>
  </si>
  <si>
    <t>Oct 10th - Cold email sent./Oct 11th - No answer - 1st followup email./Oct 12th - No answer.</t>
  </si>
  <si>
    <t>https://www.techinasia.com/jobs/55dd7d02-0a1a-4306-80eb-0f3c4446fb33</t>
  </si>
  <si>
    <t>XinFin (eXchange INFINite) Foundation</t>
  </si>
  <si>
    <t>https://www.xinfin.org</t>
  </si>
  <si>
    <t>Ankit Patel</t>
  </si>
  <si>
    <t>Off - +65 9085 5604</t>
  </si>
  <si>
    <t>Ankit@xinfin.org</t>
  </si>
  <si>
    <t>info@xinfin.org</t>
  </si>
  <si>
    <t>Oct 10th - Cold email sent./Oct 11th - Connected with Ankit, no positive response yet.</t>
  </si>
  <si>
    <t>https://www.techinasia.com/jobs/682ea8bf-97d0-478b-a0bc-3b2ac6d39d63</t>
  </si>
  <si>
    <t>https://www.linkedin.com/company/xinfin/</t>
  </si>
  <si>
    <t>LogisticsX</t>
  </si>
  <si>
    <t>https://logisticsx.io/</t>
  </si>
  <si>
    <t>Victor Heng</t>
  </si>
  <si>
    <t>Victor@logisticsx.io</t>
  </si>
  <si>
    <t>https://www.techinasia.com/jobs/cfb7d7f0-3bcd-480e-a720-57f1adf6421f</t>
  </si>
  <si>
    <t>https://www.linkedin.com/company/logisticsx/</t>
  </si>
  <si>
    <t>Trunk Tech Pte Ltd</t>
  </si>
  <si>
    <t>Andy Ho</t>
  </si>
  <si>
    <t>Oct 10th - Linkedin message via Sales Navigator.</t>
  </si>
  <si>
    <t>https://www.techinasia.com/jobs/1807804f-2ee2-4fe7-9a05-756bd6beb9be</t>
  </si>
  <si>
    <t>https://www.linkedin.com/in/andy-ho-92170a2a/</t>
  </si>
  <si>
    <t>Pionr</t>
  </si>
  <si>
    <t>https://pionr.com/</t>
  </si>
  <si>
    <t>Vadzim Sasnouski</t>
  </si>
  <si>
    <t xml:space="preserve">Off - +44 (0)7920 225706 </t>
  </si>
  <si>
    <t>V.Sasnouski@pionr.com</t>
  </si>
  <si>
    <t>info@pionr.com</t>
  </si>
  <si>
    <t>Oct 10th - Cold email sent - Jonathan responded - not interested in remote teams.</t>
  </si>
  <si>
    <t>https://www.f6s.com/jobs/38510/pionr/full-stack-developer</t>
  </si>
  <si>
    <t>https://www.linkedin.com/company/pionr/</t>
  </si>
  <si>
    <t>Invygo</t>
  </si>
  <si>
    <t>https://invygo.com</t>
  </si>
  <si>
    <t>Pulkit Ganjoo</t>
  </si>
  <si>
    <t>pulkit@invygo.com</t>
  </si>
  <si>
    <t>info@invygo.com</t>
  </si>
  <si>
    <t>https://www.f6s.com/jobs/38506/invygo/lead-software-engineer</t>
  </si>
  <si>
    <t>https://www.linkedin.com/in/pulkitganjoo/</t>
  </si>
  <si>
    <t>Ayuda Heuristics</t>
  </si>
  <si>
    <t>https://ayudaheuristics.com/</t>
  </si>
  <si>
    <t>Isabella Degen</t>
  </si>
  <si>
    <t>Isabella.Degen@ayudaheuristics.com</t>
  </si>
  <si>
    <t>https://workinstartups.com/job-board/job/73734/software-engineers-who-want-to-make-life-better-at-ayuda-heuristics/</t>
  </si>
  <si>
    <t>https://www.linkedin.com/company/ayuda-heuristics/</t>
  </si>
  <si>
    <t>https://gettrik.com/</t>
  </si>
  <si>
    <t>Off - +44 (0) 2086 291 453</t>
  </si>
  <si>
    <t>contact@gettrik.com</t>
  </si>
  <si>
    <t>https://workinstartups.com/job-board/job/73549/front-end-developer-reactjs-at-gettrik/</t>
  </si>
  <si>
    <t>Coinzettle</t>
  </si>
  <si>
    <t>https://www.coinzettle.com/</t>
  </si>
  <si>
    <t>Jasper Dykes</t>
  </si>
  <si>
    <t>JasperDykes@coinzettle.com</t>
  </si>
  <si>
    <t>https://workinstartups.com/job-board/job/73533/lead-engineer-php-at-coinzettle/</t>
  </si>
  <si>
    <t>https://www.linkedin.com/company/coinzettle/</t>
  </si>
  <si>
    <t>Core Blue Ltd</t>
  </si>
  <si>
    <t>https://www.coreblue.co.uk</t>
  </si>
  <si>
    <t>Lewis Boyles-White</t>
  </si>
  <si>
    <t>lewis@coreblue.co.uk</t>
  </si>
  <si>
    <t>https://workinstartups.com/job-board/job/73520/junior-software-developer-at-core-blue/</t>
  </si>
  <si>
    <t>https://www.linkedin.com/company/core-blue-ltd/</t>
  </si>
  <si>
    <t>CIQ Group</t>
  </si>
  <si>
    <t>https://www.ciqgroup.com/</t>
  </si>
  <si>
    <t>Will Leeming</t>
  </si>
  <si>
    <t>contact@ciqgroup.com</t>
  </si>
  <si>
    <t>https://workinstartups.com/job-board/job/73491/technical-leader-potential-cto-at-collective-iq-group-ltd/</t>
  </si>
  <si>
    <t>https://www.linkedin.com/company/ciq-group/</t>
  </si>
  <si>
    <t xml:space="preserve"> Predina Limited</t>
  </si>
  <si>
    <t>http://www.predina.com/</t>
  </si>
  <si>
    <t>Off - +44 - (0) - 7852403674</t>
  </si>
  <si>
    <t>info@predina.com</t>
  </si>
  <si>
    <t>https://workinstartups.com/job-board/job/73478/full-stack-back-end-developer-distributed-systems-at-predina-limited/</t>
  </si>
  <si>
    <t>causaLens</t>
  </si>
  <si>
    <t>https://www.causalens.com/</t>
  </si>
  <si>
    <t>Darko Matovski</t>
  </si>
  <si>
    <t>Darko@causalens.com</t>
  </si>
  <si>
    <t>info@causalens.com</t>
  </si>
  <si>
    <t>https://workinstartups.com/job-board/job/73465/senior-python-developer-remote-at-causalens/</t>
  </si>
  <si>
    <t>https://www.linkedin.com/company/causalens/</t>
  </si>
  <si>
    <t>Source_Site</t>
  </si>
  <si>
    <t>Conversation_Sentiment</t>
  </si>
  <si>
    <t>Row Labels</t>
  </si>
  <si>
    <t>Grand Total</t>
  </si>
  <si>
    <t>Count of Status</t>
  </si>
  <si>
    <t>Hot</t>
  </si>
  <si>
    <t>Warm</t>
  </si>
  <si>
    <t>Column Labels</t>
  </si>
  <si>
    <t>Created_month</t>
  </si>
  <si>
    <t>Last Modified_month</t>
  </si>
  <si>
    <t>Created_year</t>
  </si>
  <si>
    <t>May</t>
  </si>
  <si>
    <t>2018</t>
  </si>
  <si>
    <t>Aquila Logic</t>
  </si>
  <si>
    <t>http://www.aquilalogic.com.sg</t>
  </si>
  <si>
    <t>Kevin Low</t>
  </si>
  <si>
    <t>Off - +65 6100 2377</t>
  </si>
  <si>
    <t>enquiries@aquilalogic.com.sg</t>
  </si>
  <si>
    <t>Oct 11th - Linkedin request send./Oct 12th - No answer - Cold email send.</t>
  </si>
  <si>
    <t>http://startupjobs.asia/job/40857-application-developer-support-consultant-full-stack-developer-aquila-logic-pte-ltd-singapore</t>
  </si>
  <si>
    <t>Jteo@besceneapp.com</t>
  </si>
  <si>
    <t>Oct 11th - Cold email sent.</t>
  </si>
  <si>
    <t>https://www.techinasia.com/jobs/b491a167-43bc-42ad-bbdb-76ed0c0308da</t>
  </si>
  <si>
    <t>Forward Health</t>
  </si>
  <si>
    <t>https://forwardhealth.co</t>
  </si>
  <si>
    <t>Lucinda Scharff</t>
  </si>
  <si>
    <t>Lucinda@forwardhealth.co</t>
  </si>
  <si>
    <t>https://www.f6s.com/jobs/38530/forwardclinical/ux-ui-developer</t>
  </si>
  <si>
    <t>bakkaldan</t>
  </si>
  <si>
    <t>http://www.bakkaldan.com</t>
  </si>
  <si>
    <t>Cem Danon</t>
  </si>
  <si>
    <t>Off - +90 0850 460 8030</t>
  </si>
  <si>
    <t>Cem@bakkaldan.com</t>
  </si>
  <si>
    <t>info@bakkaldan.com</t>
  </si>
  <si>
    <t>Oct 11th - Cold email sent./Oct 12th - Language Barrier - 1st followup email.</t>
  </si>
  <si>
    <t>https://www.f6s.com/jobs/38523/bakkaldan/full-stack-php-developer</t>
  </si>
  <si>
    <t>Neo Soul Entertainment</t>
  </si>
  <si>
    <t>Xiangrui Kong</t>
  </si>
  <si>
    <t>Oct 11th - Linkedin request send.</t>
  </si>
  <si>
    <t>https://www.f6s.com/jobs/38513/neosoulentertainment/visual-designer</t>
  </si>
  <si>
    <t>Camcheck</t>
  </si>
  <si>
    <t>http://camcheck.fr/</t>
  </si>
  <si>
    <t>Chiraz Hammami</t>
  </si>
  <si>
    <t>Chiraz.Hammami@camcheck.fr</t>
  </si>
  <si>
    <t>contact@camcheck.fr</t>
  </si>
  <si>
    <t>https://www.f6s.com/jobs/38504/camcheck/full-stack-developer</t>
  </si>
  <si>
    <t>Scape Technologies</t>
  </si>
  <si>
    <t>https://scape.io/</t>
  </si>
  <si>
    <t>Huub Heijnen</t>
  </si>
  <si>
    <t>Huub@scape.io</t>
  </si>
  <si>
    <t>https://workinstartups.com/job-board/job/73813/junior-software-engineer-mobile-at-scape-technologies/</t>
  </si>
  <si>
    <t>Verado</t>
  </si>
  <si>
    <t>https://verado.com</t>
  </si>
  <si>
    <t>Claudio de Giovanni</t>
  </si>
  <si>
    <t>Claudio@verado.com</t>
  </si>
  <si>
    <t>support@verado.com</t>
  </si>
  <si>
    <t>https://workinstartups.com/job-board/job/73798/full-stack-remote-angular-developer-at-verado/</t>
  </si>
  <si>
    <t>Tiney.co</t>
  </si>
  <si>
    <t>Primary/Secondary Education</t>
  </si>
  <si>
    <t>https://tiney.co/</t>
  </si>
  <si>
    <t>Edd Read</t>
  </si>
  <si>
    <t>Edd@tiney.co</t>
  </si>
  <si>
    <t>https://workinstartups.com/job-board/job/73786/lead-engineer-for-a-brand-new-startup-nodejs-london-or-remote-at-tiney/</t>
  </si>
  <si>
    <t>Prime Factor Capital</t>
  </si>
  <si>
    <t>https://www.primefactor.capital</t>
  </si>
  <si>
    <t>Nic Niedermowwe</t>
  </si>
  <si>
    <t>Nic@primefactor.capital</t>
  </si>
  <si>
    <t>info@primefactor.capital</t>
  </si>
  <si>
    <t>https://workinstartups.com/job-board/job/73460/senior-software-engineer-at-prime-factor-capital/</t>
  </si>
  <si>
    <t>BetaSight Technologies</t>
  </si>
  <si>
    <t>https://www.betasight.com/</t>
  </si>
  <si>
    <t>Martin Sawtell</t>
  </si>
  <si>
    <t>Martin@betasight.com</t>
  </si>
  <si>
    <t>info@betasight.com</t>
  </si>
  <si>
    <t>https://www.techinasia.com/jobs/search?country_name[]=Singapore&amp;job_category_name[]=Game%20%26%20VR%2FAR%20Development</t>
  </si>
  <si>
    <t>Little Nugget</t>
  </si>
  <si>
    <t>http://littlenuggetco.com</t>
  </si>
  <si>
    <t>Carrie Griffith</t>
  </si>
  <si>
    <t>Carrie@littlenuggetco.com</t>
  </si>
  <si>
    <t>hello@littlenuggetco.com</t>
  </si>
  <si>
    <t>Oct 12th - Cold email sent.</t>
  </si>
  <si>
    <t>https://www.f6s.com/jobs/38534/littlenugget/lead-software-engineer</t>
  </si>
  <si>
    <t>Surfboard</t>
  </si>
  <si>
    <t>http://www.surfboardapp.co</t>
  </si>
  <si>
    <t>Brandon Gardere</t>
  </si>
  <si>
    <t>Brandon@surfboardapp.co</t>
  </si>
  <si>
    <t>https://www.f6s.com/jobs/38532/surfboardinc/android-development-role</t>
  </si>
  <si>
    <t>Zotto Soluções Mobile</t>
  </si>
  <si>
    <t>http://zottomobile.com.br</t>
  </si>
  <si>
    <t>Pablo Lopes</t>
  </si>
  <si>
    <t>Off - +55 31 98978-0186</t>
  </si>
  <si>
    <t>Pablo.Lopes@zottomobile.com.br</t>
  </si>
  <si>
    <t>contato@zottomobile.com.br</t>
  </si>
  <si>
    <t>https://www.f6s.com/jobs/38531/botztore/desenvolvedor-javascript</t>
  </si>
  <si>
    <t>Tamoco</t>
  </si>
  <si>
    <t>https://www.tamoco.com</t>
  </si>
  <si>
    <t>Rune Bromer</t>
  </si>
  <si>
    <t>Rune.Bromer@tamoco.com/Rune@tamoco.com</t>
  </si>
  <si>
    <t>https://workinstartups.com/job-board/job/73290/senior-frontend-developer-reactjs-at-tamoco-limited/</t>
  </si>
  <si>
    <t>Verv</t>
  </si>
  <si>
    <t>https://verv.energy</t>
  </si>
  <si>
    <t>Divia Bhatnagar</t>
  </si>
  <si>
    <t>Off - +44 0800 7720160</t>
  </si>
  <si>
    <t>Divia@verv.energy</t>
  </si>
  <si>
    <t>info@verv.energy</t>
  </si>
  <si>
    <t>https://workinstartups.com/job-board/job/73289/ios-developer-at-verv/</t>
  </si>
  <si>
    <t>Arctoris</t>
  </si>
  <si>
    <t>https://www.arctoris.com/</t>
  </si>
  <si>
    <t>Martin-Immanuel Bittner</t>
  </si>
  <si>
    <t>Oct 12th - Linkedin request send.</t>
  </si>
  <si>
    <t>https://workinstartups.com/job-board/job/73285/software-developer-at-arctoris/</t>
  </si>
  <si>
    <t>https://www.linkedin.com/company/aquila-logic/?originalSubdomain=in</t>
  </si>
  <si>
    <t>https://www.linkedin.com/company/forwardhealth/</t>
  </si>
  <si>
    <t>https://www.linkedin.com/company/bakkaldan-internet-hizmetleri-a.%C5%9F./</t>
  </si>
  <si>
    <t>https://www.linkedin.com/in/henrykong97/</t>
  </si>
  <si>
    <t>https://www.linkedin.com/company/camcheck/</t>
  </si>
  <si>
    <t>https://www.linkedin.com/company/scape-technologies-ltd/</t>
  </si>
  <si>
    <t>https://www.linkedin.com/company/verado/</t>
  </si>
  <si>
    <t>https://www.linkedin.com/company/tiney-co/</t>
  </si>
  <si>
    <t>https://www.linkedin.com/company/primefactorcapital/</t>
  </si>
  <si>
    <t>https://www.linkedin.com/company/betasight/</t>
  </si>
  <si>
    <t>https://www.linkedin.com/company/little-nugget-co/</t>
  </si>
  <si>
    <t>https://www.linkedin.com/company/surfboard/</t>
  </si>
  <si>
    <t>https://www.linkedin.com/company/zotto-mobile/</t>
  </si>
  <si>
    <t>https://www.linkedin.com/company/tamoco-the-tag-mobile-company/</t>
  </si>
  <si>
    <t>https://www.linkedin.com/company/vervvlux/</t>
  </si>
  <si>
    <t>https://www.linkedin.com/company/arctoris/</t>
  </si>
  <si>
    <t>(blank)</t>
  </si>
  <si>
    <t>No Source</t>
  </si>
  <si>
    <t>startupjobs.asia</t>
  </si>
  <si>
    <t>www.f6s.com</t>
  </si>
  <si>
    <t>www.techinasia.com</t>
  </si>
  <si>
    <t>(Multiple Items)</t>
  </si>
  <si>
    <t>Negative</t>
  </si>
  <si>
    <t>Neutral</t>
  </si>
  <si>
    <t>Positive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</si>
</sst>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u/>
      <sz val="11"/>
      <color theme="10"/>
      <name val="Calibri"/>
      <family val="2"/>
      <scheme val="minor"/>
    </font>
    <font>
      <b/>
      <sz val="11"/>
      <color theme="1"/>
      <name val="Calibri"/>
      <family val="2"/>
    </font>
    <font>
      <sz val="11"/>
      <name val="Calibri"/>
      <family val="2"/>
      <scheme val="minor"/>
    </font>
    <font>
      <u/>
      <sz val="11"/>
      <name val="Calibri"/>
      <family val="2"/>
      <scheme val="minor"/>
    </font>
    <font>
      <strike/>
      <sz val="11"/>
      <color theme="1"/>
      <name val="Calibri"/>
      <family val="2"/>
      <scheme val="minor"/>
    </font>
    <font>
      <strike/>
      <u/>
      <sz val="11"/>
      <color theme="10"/>
      <name val="Calibri"/>
      <family val="2"/>
      <scheme val="minor"/>
    </font>
    <font>
      <u/>
      <sz val="11"/>
      <color theme="1"/>
      <name val="Calibri"/>
      <family val="2"/>
      <scheme val="minor"/>
    </font>
  </fonts>
  <fills count="12">
    <fill>
      <patternFill patternType="none"/>
    </fill>
    <fill>
      <patternFill patternType="gray125"/>
    </fill>
    <fill>
      <patternFill patternType="solid">
        <fgColor theme="2" tint="-0.249977111117893"/>
        <bgColor indexed="64"/>
      </patternFill>
    </fill>
    <fill>
      <patternFill patternType="solid">
        <fgColor theme="2" tint="-0.249977111117893"/>
        <bgColor rgb="FF9999FF"/>
      </patternFill>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9"/>
        <bgColor indexed="64"/>
      </patternFill>
    </fill>
    <fill>
      <patternFill patternType="solid">
        <fgColor rgb="FF92D050"/>
        <bgColor indexed="64"/>
      </patternFill>
    </fill>
    <fill>
      <patternFill patternType="solid">
        <fgColor theme="6" tint="0.59999389629810485"/>
        <bgColor indexed="64"/>
      </patternFill>
    </fill>
  </fills>
  <borders count="20">
    <border>
      <left/>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2" fillId="0" borderId="0" applyNumberFormat="0" applyFill="0" applyBorder="0" applyAlignment="0" applyProtection="0"/>
  </cellStyleXfs>
  <cellXfs count="90">
    <xf numFmtId="0" fontId="0" fillId="0" borderId="0" xfId="0"/>
    <xf numFmtId="0" fontId="1" fillId="2" borderId="1" xfId="0" applyFont="1" applyFill="1" applyBorder="1"/>
    <xf numFmtId="0" fontId="1" fillId="2" borderId="2" xfId="0" applyFont="1" applyFill="1" applyBorder="1"/>
    <xf numFmtId="0" fontId="3" fillId="3" borderId="2" xfId="0" applyFont="1" applyFill="1" applyBorder="1"/>
    <xf numFmtId="0" fontId="3" fillId="3" borderId="3" xfId="0" applyFont="1" applyFill="1" applyBorder="1"/>
    <xf numFmtId="0" fontId="3" fillId="3" borderId="4" xfId="0" applyFont="1" applyFill="1" applyBorder="1"/>
    <xf numFmtId="0" fontId="0" fillId="0" borderId="5" xfId="0" applyBorder="1"/>
    <xf numFmtId="14" fontId="0" fillId="0" borderId="5" xfId="0" applyNumberFormat="1" applyBorder="1"/>
    <xf numFmtId="0" fontId="0" fillId="0" borderId="7" xfId="0" applyBorder="1"/>
    <xf numFmtId="0" fontId="0" fillId="0" borderId="8" xfId="0" applyBorder="1"/>
    <xf numFmtId="14" fontId="0" fillId="0" borderId="7" xfId="0" applyNumberFormat="1" applyBorder="1"/>
    <xf numFmtId="0" fontId="0" fillId="4" borderId="7" xfId="0" applyFill="1" applyBorder="1"/>
    <xf numFmtId="14" fontId="0" fillId="4" borderId="7" xfId="0" applyNumberFormat="1" applyFill="1" applyBorder="1" applyAlignment="1">
      <alignment horizontal="left"/>
    </xf>
    <xf numFmtId="14" fontId="0" fillId="4" borderId="7" xfId="0" applyNumberFormat="1" applyFill="1" applyBorder="1"/>
    <xf numFmtId="0" fontId="0" fillId="4" borderId="8" xfId="0" applyFill="1" applyBorder="1"/>
    <xf numFmtId="14" fontId="0" fillId="0" borderId="7" xfId="0" applyNumberFormat="1" applyBorder="1" applyAlignment="1">
      <alignment horizontal="left"/>
    </xf>
    <xf numFmtId="0" fontId="0" fillId="5" borderId="7" xfId="0" applyFill="1" applyBorder="1"/>
    <xf numFmtId="14" fontId="0" fillId="5" borderId="7" xfId="0" applyNumberFormat="1" applyFill="1" applyBorder="1"/>
    <xf numFmtId="0" fontId="0" fillId="5" borderId="9" xfId="0" applyFill="1" applyBorder="1"/>
    <xf numFmtId="0" fontId="0" fillId="5" borderId="8" xfId="0" applyFill="1" applyBorder="1"/>
    <xf numFmtId="0" fontId="0" fillId="0" borderId="10" xfId="0" applyBorder="1"/>
    <xf numFmtId="0" fontId="0" fillId="5" borderId="10" xfId="0" applyFill="1" applyBorder="1"/>
    <xf numFmtId="0" fontId="1" fillId="4" borderId="7" xfId="0" applyFont="1" applyFill="1" applyBorder="1"/>
    <xf numFmtId="0" fontId="0" fillId="4" borderId="10" xfId="0" applyFill="1" applyBorder="1"/>
    <xf numFmtId="0" fontId="0" fillId="0" borderId="11" xfId="0" applyBorder="1"/>
    <xf numFmtId="14" fontId="0" fillId="0" borderId="11" xfId="0" applyNumberFormat="1" applyBorder="1"/>
    <xf numFmtId="0" fontId="0" fillId="5" borderId="7" xfId="0" applyFill="1" applyBorder="1" applyAlignment="1">
      <alignment wrapText="1"/>
    </xf>
    <xf numFmtId="0" fontId="0" fillId="6" borderId="7" xfId="0" applyFill="1" applyBorder="1"/>
    <xf numFmtId="0" fontId="4" fillId="4" borderId="7" xfId="0" applyFont="1" applyFill="1" applyBorder="1"/>
    <xf numFmtId="14" fontId="4" fillId="4" borderId="7" xfId="0" applyNumberFormat="1" applyFont="1" applyFill="1" applyBorder="1"/>
    <xf numFmtId="0" fontId="5" fillId="4" borderId="7" xfId="0" applyFont="1" applyFill="1" applyBorder="1"/>
    <xf numFmtId="14" fontId="0" fillId="6" borderId="7" xfId="0" applyNumberFormat="1" applyFill="1" applyBorder="1"/>
    <xf numFmtId="0" fontId="0" fillId="4" borderId="7" xfId="0" applyFill="1" applyBorder="1" applyAlignment="1">
      <alignment wrapText="1"/>
    </xf>
    <xf numFmtId="0" fontId="0" fillId="0" borderId="7" xfId="0" applyBorder="1" applyAlignment="1">
      <alignment wrapText="1"/>
    </xf>
    <xf numFmtId="0" fontId="6" fillId="0" borderId="7" xfId="0" applyFont="1" applyBorder="1"/>
    <xf numFmtId="14" fontId="6" fillId="0" borderId="7" xfId="0" applyNumberFormat="1" applyFont="1" applyBorder="1"/>
    <xf numFmtId="0" fontId="7" fillId="0" borderId="7" xfId="0" applyFont="1" applyBorder="1"/>
    <xf numFmtId="0" fontId="0" fillId="4" borderId="0" xfId="0" applyFill="1"/>
    <xf numFmtId="0" fontId="2" fillId="6" borderId="7" xfId="1" applyFill="1" applyBorder="1"/>
    <xf numFmtId="0" fontId="2" fillId="0" borderId="7" xfId="1" applyBorder="1"/>
    <xf numFmtId="0" fontId="0" fillId="0" borderId="0" xfId="0" applyAlignment="1">
      <alignment horizontal="left" vertical="center" wrapText="1"/>
    </xf>
    <xf numFmtId="0" fontId="2" fillId="5" borderId="7" xfId="1" applyFill="1" applyBorder="1"/>
    <xf numFmtId="0" fontId="2" fillId="4" borderId="7" xfId="1" applyFill="1" applyBorder="1"/>
    <xf numFmtId="0" fontId="2" fillId="4" borderId="0" xfId="1" applyFill="1"/>
    <xf numFmtId="0" fontId="0" fillId="7" borderId="7" xfId="0" applyFill="1" applyBorder="1"/>
    <xf numFmtId="14" fontId="0" fillId="4" borderId="0" xfId="0" applyNumberFormat="1" applyFill="1"/>
    <xf numFmtId="14" fontId="0" fillId="0" borderId="0" xfId="0" applyNumberFormat="1"/>
    <xf numFmtId="0" fontId="0" fillId="8" borderId="0" xfId="0" applyFill="1"/>
    <xf numFmtId="0" fontId="2" fillId="0" borderId="0" xfId="1"/>
    <xf numFmtId="0" fontId="0" fillId="5" borderId="0" xfId="0" applyFill="1"/>
    <xf numFmtId="14" fontId="0" fillId="5" borderId="0" xfId="0" applyNumberFormat="1" applyFill="1"/>
    <xf numFmtId="0" fontId="2" fillId="5" borderId="0" xfId="1" applyFill="1"/>
    <xf numFmtId="0" fontId="2" fillId="0" borderId="0" xfId="1" applyAlignment="1">
      <alignment wrapText="1"/>
    </xf>
    <xf numFmtId="0" fontId="2" fillId="0" borderId="0" xfId="1" applyFill="1" applyBorder="1"/>
    <xf numFmtId="0" fontId="0" fillId="6" borderId="0" xfId="0" applyFill="1"/>
    <xf numFmtId="0" fontId="8" fillId="4" borderId="0" xfId="1" applyFont="1" applyFill="1"/>
    <xf numFmtId="0" fontId="0" fillId="9" borderId="0" xfId="0" applyFill="1"/>
    <xf numFmtId="0" fontId="4" fillId="5" borderId="7" xfId="0" applyFont="1" applyFill="1" applyBorder="1"/>
    <xf numFmtId="0" fontId="5" fillId="5" borderId="7" xfId="0" applyFont="1" applyFill="1" applyBorder="1"/>
    <xf numFmtId="0" fontId="5" fillId="5" borderId="8" xfId="0" applyFont="1" applyFill="1" applyBorder="1"/>
    <xf numFmtId="0" fontId="0" fillId="10" borderId="7" xfId="0" applyFill="1" applyBorder="1"/>
    <xf numFmtId="14" fontId="0" fillId="10" borderId="7" xfId="0" applyNumberFormat="1" applyFill="1" applyBorder="1"/>
    <xf numFmtId="0" fontId="0" fillId="10" borderId="8" xfId="0" applyFill="1" applyBorder="1"/>
    <xf numFmtId="0" fontId="0" fillId="10" borderId="10" xfId="0" applyFill="1" applyBorder="1"/>
    <xf numFmtId="0" fontId="0" fillId="10" borderId="7" xfId="0" applyFill="1" applyBorder="1" applyAlignment="1">
      <alignment wrapText="1"/>
    </xf>
    <xf numFmtId="0" fontId="0" fillId="10" borderId="0" xfId="0" applyFill="1"/>
    <xf numFmtId="0" fontId="2" fillId="10" borderId="7" xfId="1" applyFill="1" applyBorder="1"/>
    <xf numFmtId="0" fontId="8" fillId="10" borderId="7" xfId="0" applyFont="1" applyFill="1" applyBorder="1"/>
    <xf numFmtId="0" fontId="1" fillId="10" borderId="7" xfId="0" applyFont="1" applyFill="1" applyBorder="1"/>
    <xf numFmtId="14" fontId="0" fillId="10" borderId="0" xfId="0" applyNumberFormat="1" applyFill="1"/>
    <xf numFmtId="0" fontId="2" fillId="10" borderId="0" xfId="1" applyFill="1"/>
    <xf numFmtId="0" fontId="0" fillId="5" borderId="0" xfId="0" applyFill="1" applyAlignment="1">
      <alignment wrapText="1"/>
    </xf>
    <xf numFmtId="0" fontId="2" fillId="0" borderId="0" xfId="1" applyFill="1"/>
    <xf numFmtId="0" fontId="2" fillId="0" borderId="6" xfId="1" applyBorder="1"/>
    <xf numFmtId="0" fontId="3" fillId="3" borderId="0" xfId="0" applyFont="1" applyFill="1"/>
    <xf numFmtId="0" fontId="0" fillId="0" borderId="0" xfId="0" pivotButton="1"/>
    <xf numFmtId="0" fontId="0" fillId="0" borderId="0" xfId="0" applyAlignment="1">
      <alignment horizontal="left"/>
    </xf>
    <xf numFmtId="0" fontId="0" fillId="0" borderId="0" xfId="0" applyAlignment="1">
      <alignment horizontal="left" indent="1"/>
    </xf>
    <xf numFmtId="14" fontId="0" fillId="11" borderId="0" xfId="0" applyNumberFormat="1" applyFill="1"/>
    <xf numFmtId="0" fontId="0" fillId="11" borderId="0" xfId="0" applyFill="1"/>
    <xf numFmtId="0" fontId="2" fillId="11" borderId="0" xfId="1" applyFill="1"/>
    <xf numFmtId="0" fontId="2" fillId="6" borderId="0" xfId="1" applyFill="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6" borderId="17" xfId="0" applyFill="1" applyBorder="1"/>
    <xf numFmtId="0" fontId="0" fillId="6" borderId="18" xfId="0" applyFill="1" applyBorder="1"/>
    <xf numFmtId="0" fontId="0" fillId="6" borderId="19" xfId="0"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[OQ_Sales_Data.xlsm]Date Vs Status!PivotTable4</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Trend_of_activity</a:t>
            </a:r>
          </a:p>
        </c:rich>
      </c:tx>
      <c:layout>
        <c:manualLayout>
          <c:xMode val="edge"/>
          <c:yMode val="edge"/>
          <c:x val="0.1088441890166028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'Date Vs Status'!$B$4:$B$5</c:f>
              <c:strCache>
                <c:ptCount val="1"/>
                <c:pt idx="0">
                  <c:v>Hot</c:v>
                </c:pt>
              </c:strCache>
            </c:strRef>
          </c:tx>
          <c:spPr>
            <a:ln w="28575" cap="rnd">
              <a:solidFill>
                <a:schemeClr val="accent1"/>
              </a:solidFill>
              <a:round/>
            </a:ln>
            <a:effectLst/>
          </c:spPr>
          <c:marker>
            <c:symbol val="none"/>
          </c:marker>
          <c:cat>
            <c:multiLvlStrRef>
              <c:f>'Date Vs Status'!$A$6:$A$8</c:f>
              <c:multiLvlStrCache>
                <c:ptCount val="1"/>
                <c:lvl>
                  <c:pt idx="0">
                    <c:v>May</c:v>
                  </c:pt>
                </c:lvl>
                <c:lvl>
                  <c:pt idx="0">
                    <c:v>2018</c:v>
                  </c:pt>
                </c:lvl>
              </c:multiLvlStrCache>
            </c:multiLvlStrRef>
          </c:cat>
          <c:val>
            <c:numRef>
              <c:f>'Date Vs Status'!$B$6:$B$8</c:f>
              <c:numCache>
                <c:formatCode>General</c:formatCode>
                <c:ptCount val="1"/>
                <c:pt idx="0">
                  <c:v>4</c:v>
                </c:pt>
              </c:numCache>
            </c:numRef>
          </c:val>
          <c:smooth val="0"/>
          <c:extLst>
            <c:ext xmlns:c16="http://schemas.microsoft.com/office/drawing/2014/chart" uri="{C3380CC4-5D6E-409C-BE32-E72D297353CC}">
              <c16:uniqueId val="{00000000-CB09-428C-8A72-C4E647FC12C7}"/>
            </c:ext>
          </c:extLst>
        </c:ser>
        <c:ser>
          <c:idx val="1"/>
          <c:order val="1"/>
          <c:tx>
            <c:strRef>
              <c:f>'Date Vs Status'!$C$4:$C$5</c:f>
              <c:strCache>
                <c:ptCount val="1"/>
                <c:pt idx="0">
                  <c:v>Warm</c:v>
                </c:pt>
              </c:strCache>
            </c:strRef>
          </c:tx>
          <c:spPr>
            <a:ln w="28575" cap="rnd">
              <a:solidFill>
                <a:schemeClr val="accent2"/>
              </a:solidFill>
              <a:round/>
            </a:ln>
            <a:effectLst/>
          </c:spPr>
          <c:marker>
            <c:symbol val="none"/>
          </c:marker>
          <c:cat>
            <c:multiLvlStrRef>
              <c:f>'Date Vs Status'!$A$6:$A$8</c:f>
              <c:multiLvlStrCache>
                <c:ptCount val="1"/>
                <c:lvl>
                  <c:pt idx="0">
                    <c:v>May</c:v>
                  </c:pt>
                </c:lvl>
                <c:lvl>
                  <c:pt idx="0">
                    <c:v>2018</c:v>
                  </c:pt>
                </c:lvl>
              </c:multiLvlStrCache>
            </c:multiLvlStrRef>
          </c:cat>
          <c:val>
            <c:numRef>
              <c:f>'Date Vs Status'!$C$6:$C$8</c:f>
              <c:numCache>
                <c:formatCode>General</c:formatCode>
                <c:ptCount val="1"/>
                <c:pt idx="0">
                  <c:v>7</c:v>
                </c:pt>
              </c:numCache>
            </c:numRef>
          </c:val>
          <c:smooth val="0"/>
          <c:extLst>
            <c:ext xmlns:c16="http://schemas.microsoft.com/office/drawing/2014/chart" uri="{C3380CC4-5D6E-409C-BE32-E72D297353CC}">
              <c16:uniqueId val="{00000008-CB09-428C-8A72-C4E647FC12C7}"/>
            </c:ext>
          </c:extLst>
        </c:ser>
        <c:dLbls>
          <c:showLegendKey val="0"/>
          <c:showVal val="0"/>
          <c:showCatName val="0"/>
          <c:showSerName val="0"/>
          <c:showPercent val="0"/>
          <c:showBubbleSize val="0"/>
        </c:dLbls>
        <c:smooth val="0"/>
        <c:axId val="713678304"/>
        <c:axId val="713669184"/>
      </c:lineChart>
      <c:catAx>
        <c:axId val="7136783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3669184"/>
        <c:crosses val="autoZero"/>
        <c:auto val="1"/>
        <c:lblAlgn val="ctr"/>
        <c:lblOffset val="100"/>
        <c:noMultiLvlLbl val="0"/>
      </c:catAx>
      <c:valAx>
        <c:axId val="71366918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3678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[OQ_Sales_Data.xlsm]Industry Vs Status!PivotTable1</c:name>
    <c:fmtId val="14"/>
  </c:pivotSource>
  <c:chart>
    <c:title>
      <c:tx>
        <c:rich>
          <a:bodyPr/>
          <a:lstStyle/>
          <a:p>
            <a:pPr>
              <a:defRPr/>
            </a:pPr>
            <a:r>
              <a:rPr lang="en-IN"/>
              <a:t>Industry_Analysis</a:t>
            </a:r>
          </a:p>
        </c:rich>
      </c:tx>
      <c:overlay val="0"/>
    </c:title>
    <c:autoTitleDeleted val="0"/>
    <c:pivotFmts>
      <c:pivotFmt>
        <c:idx val="0"/>
        <c:spPr>
          <a:solidFill>
            <a:schemeClr val="accent2">
              <a:lumMod val="60000"/>
              <a:lumOff val="40000"/>
            </a:schemeClr>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2">
              <a:lumMod val="60000"/>
              <a:lumOff val="40000"/>
            </a:schemeClr>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2">
              <a:lumMod val="60000"/>
              <a:lumOff val="40000"/>
            </a:schemeClr>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2">
              <a:lumMod val="60000"/>
              <a:lumOff val="40000"/>
            </a:schemeClr>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spPr>
          <a:solidFill>
            <a:schemeClr val="accent1">
              <a:lumMod val="75000"/>
            </a:schemeClr>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'Industry Vs Status'!$B$3:$B$4</c:f>
              <c:strCache>
                <c:ptCount val="1"/>
                <c:pt idx="0">
                  <c:v>Hot</c:v>
                </c:pt>
              </c:strCache>
            </c:strRef>
          </c:tx>
          <c:spPr>
            <a:solidFill>
              <a:schemeClr val="accent2">
                <a:lumMod val="60000"/>
                <a:lumOff val="40000"/>
              </a:schemeClr>
            </a:solidFill>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'Industry Vs Status'!$A$5:$A$16</c:f>
              <c:strCache>
                <c:ptCount val="11"/>
                <c:pt idx="0">
                  <c:v>Augmented Reality</c:v>
                </c:pt>
                <c:pt idx="1">
                  <c:v>Computer &amp; Network Security</c:v>
                </c:pt>
                <c:pt idx="2">
                  <c:v>Digital Agency</c:v>
                </c:pt>
                <c:pt idx="3">
                  <c:v>E - learing</c:v>
                </c:pt>
                <c:pt idx="4">
                  <c:v>Information Technology and Services </c:v>
                </c:pt>
                <c:pt idx="5">
                  <c:v>Internet</c:v>
                </c:pt>
                <c:pt idx="6">
                  <c:v>Logistics and Supply Chain</c:v>
                </c:pt>
                <c:pt idx="7">
                  <c:v>Market Research </c:v>
                </c:pt>
                <c:pt idx="8">
                  <c:v>Mechanical or Industrial Engineering</c:v>
                </c:pt>
                <c:pt idx="9">
                  <c:v>Sports</c:v>
                </c:pt>
                <c:pt idx="10">
                  <c:v>(blank)</c:v>
                </c:pt>
              </c:strCache>
            </c:strRef>
          </c:cat>
          <c:val>
            <c:numRef>
              <c:f>'Industry Vs Status'!$B$5:$B$16</c:f>
              <c:numCache>
                <c:formatCode>General</c:formatCode>
                <c:ptCount val="11"/>
                <c:pt idx="2">
                  <c:v>1</c:v>
                </c:pt>
                <c:pt idx="3">
                  <c:v>1</c:v>
                </c:pt>
                <c:pt idx="5">
                  <c:v>1</c:v>
                </c:pt>
                <c:pt idx="8">
                  <c:v>1</c:v>
                </c:pt>
              </c:numCache>
            </c:numRef>
          </c:val>
          <c:extLst>
            <c:ext xmlns:c16="http://schemas.microsoft.com/office/drawing/2014/chart" uri="{C3380CC4-5D6E-409C-BE32-E72D297353CC}">
              <c16:uniqueId val="{00000005-4748-4DB5-BA39-E6539CD39DD6}"/>
            </c:ext>
          </c:extLst>
        </c:ser>
        <c:ser>
          <c:idx val="1"/>
          <c:order val="1"/>
          <c:tx>
            <c:strRef>
              <c:f>'Industry Vs Status'!$C$3:$C$4</c:f>
              <c:strCache>
                <c:ptCount val="1"/>
                <c:pt idx="0">
                  <c:v>Warm</c:v>
                </c:pt>
              </c:strCache>
            </c:strRef>
          </c:tx>
          <c:spPr>
            <a:solidFill>
              <a:schemeClr val="accent1">
                <a:lumMod val="75000"/>
              </a:schemeClr>
            </a:solidFill>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'Industry Vs Status'!$A$5:$A$16</c:f>
              <c:strCache>
                <c:ptCount val="11"/>
                <c:pt idx="0">
                  <c:v>Augmented Reality</c:v>
                </c:pt>
                <c:pt idx="1">
                  <c:v>Computer &amp; Network Security</c:v>
                </c:pt>
                <c:pt idx="2">
                  <c:v>Digital Agency</c:v>
                </c:pt>
                <c:pt idx="3">
                  <c:v>E - learing</c:v>
                </c:pt>
                <c:pt idx="4">
                  <c:v>Information Technology and Services </c:v>
                </c:pt>
                <c:pt idx="5">
                  <c:v>Internet</c:v>
                </c:pt>
                <c:pt idx="6">
                  <c:v>Logistics and Supply Chain</c:v>
                </c:pt>
                <c:pt idx="7">
                  <c:v>Market Research </c:v>
                </c:pt>
                <c:pt idx="8">
                  <c:v>Mechanical or Industrial Engineering</c:v>
                </c:pt>
                <c:pt idx="9">
                  <c:v>Sports</c:v>
                </c:pt>
                <c:pt idx="10">
                  <c:v>(blank)</c:v>
                </c:pt>
              </c:strCache>
            </c:strRef>
          </c:cat>
          <c:val>
            <c:numRef>
              <c:f>'Industry Vs Status'!$C$5:$C$16</c:f>
              <c:numCache>
                <c:formatCode>General</c:formatCode>
                <c:ptCount val="11"/>
                <c:pt idx="0">
                  <c:v>1</c:v>
                </c:pt>
                <c:pt idx="1">
                  <c:v>1</c:v>
                </c:pt>
                <c:pt idx="4">
                  <c:v>1</c:v>
                </c:pt>
                <c:pt idx="6">
                  <c:v>1</c:v>
                </c:pt>
                <c:pt idx="7">
                  <c:v>1</c:v>
                </c:pt>
                <c:pt idx="9">
                  <c:v>1</c:v>
                </c:pt>
                <c:pt idx="10">
                  <c:v>1</c:v>
                </c:pt>
              </c:numCache>
            </c:numRef>
          </c:val>
          <c:extLst>
            <c:ext xmlns:c16="http://schemas.microsoft.com/office/drawing/2014/chart" uri="{C3380CC4-5D6E-409C-BE32-E72D297353CC}">
              <c16:uniqueId val="{0000000E-4748-4DB5-BA39-E6539CD39DD6}"/>
            </c:ext>
          </c:extLst>
        </c:ser>
        <c:dLbls>
          <c:dLblPos val="outEnd"/>
          <c:showLegendKey val="0"/>
          <c:showVal val="1"/>
          <c:showCatName val="0"/>
          <c:showSerName val="0"/>
          <c:showPercent val="0"/>
          <c:showBubbleSize val="0"/>
        </c:dLbls>
        <c:gapWidth val="219"/>
        <c:overlap val="-27"/>
        <c:axId val="1136059072"/>
        <c:axId val="1136068672"/>
      </c:barChart>
      <c:catAx>
        <c:axId val="1136059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6068672"/>
        <c:crosses val="autoZero"/>
        <c:auto val="1"/>
        <c:lblAlgn val="ctr"/>
        <c:lblOffset val="100"/>
        <c:noMultiLvlLbl val="0"/>
      </c:catAx>
      <c:valAx>
        <c:axId val="1136068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6059072"/>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[OQ_Sales_Data.xlsm]Country Vs Status!PivotTable1</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Country_Analysis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'Country Vs Status'!$B$3</c:f>
              <c:strCache>
                <c:ptCount val="1"/>
                <c:pt idx="0">
                  <c:v>Total</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 Vs Status'!$A$4:$A$9</c:f>
              <c:strCache>
                <c:ptCount val="5"/>
                <c:pt idx="0">
                  <c:v>Malaysia</c:v>
                </c:pt>
                <c:pt idx="1">
                  <c:v>Nigeria</c:v>
                </c:pt>
                <c:pt idx="2">
                  <c:v>Singapore</c:v>
                </c:pt>
                <c:pt idx="3">
                  <c:v>Switzerland</c:v>
                </c:pt>
                <c:pt idx="4">
                  <c:v>USA</c:v>
                </c:pt>
              </c:strCache>
            </c:strRef>
          </c:cat>
          <c:val>
            <c:numRef>
              <c:f>'Country Vs Status'!$B$4:$B$9</c:f>
              <c:numCache>
                <c:formatCode>General</c:formatCode>
                <c:ptCount val="5"/>
                <c:pt idx="0">
                  <c:v>3</c:v>
                </c:pt>
                <c:pt idx="1">
                  <c:v>1</c:v>
                </c:pt>
                <c:pt idx="2">
                  <c:v>5</c:v>
                </c:pt>
                <c:pt idx="3">
                  <c:v>1</c:v>
                </c:pt>
                <c:pt idx="4">
                  <c:v>1</c:v>
                </c:pt>
              </c:numCache>
            </c:numRef>
          </c:val>
          <c:extLst>
            <c:ext xmlns:c16="http://schemas.microsoft.com/office/drawing/2014/chart" uri="{C3380CC4-5D6E-409C-BE32-E72D297353CC}">
              <c16:uniqueId val="{00000000-092F-4604-B04D-A81FD3EEFFEA}"/>
            </c:ext>
          </c:extLst>
        </c:ser>
        <c:dLbls>
          <c:dLblPos val="outEnd"/>
          <c:showLegendKey val="0"/>
          <c:showVal val="1"/>
          <c:showCatName val="0"/>
          <c:showSerName val="0"/>
          <c:showPercent val="0"/>
          <c:showBubbleSize val="0"/>
        </c:dLbls>
        <c:gapWidth val="182"/>
        <c:axId val="1136074912"/>
        <c:axId val="1136073952"/>
      </c:barChart>
      <c:catAx>
        <c:axId val="11360749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6073952"/>
        <c:crosses val="autoZero"/>
        <c:auto val="1"/>
        <c:lblAlgn val="ctr"/>
        <c:lblOffset val="100"/>
        <c:noMultiLvlLbl val="0"/>
      </c:catAx>
      <c:valAx>
        <c:axId val="11360739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6074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[OQ_Sales_Data.xlsm]Status!PivotTable4</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Status!$B$4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C83-49CF-A07D-7EB523A7FE3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C83-49CF-A07D-7EB523A7FE3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Status!$A$5:$A$7</c:f>
              <c:strCache>
                <c:ptCount val="2"/>
                <c:pt idx="0">
                  <c:v>Hot</c:v>
                </c:pt>
                <c:pt idx="1">
                  <c:v>Warm</c:v>
                </c:pt>
              </c:strCache>
            </c:strRef>
          </c:cat>
          <c:val>
            <c:numRef>
              <c:f>Status!$B$5:$B$7</c:f>
              <c:numCache>
                <c:formatCode>General</c:formatCode>
                <c:ptCount val="2"/>
                <c:pt idx="0">
                  <c:v>4</c:v>
                </c:pt>
                <c:pt idx="1">
                  <c:v>7</c:v>
                </c:pt>
              </c:numCache>
            </c:numRef>
          </c:val>
          <c:extLst>
            <c:ext xmlns:c16="http://schemas.microsoft.com/office/drawing/2014/chart" uri="{C3380CC4-5D6E-409C-BE32-E72D297353CC}">
              <c16:uniqueId val="{00000004-BC83-49CF-A07D-7EB523A7FE36}"/>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1851660</xdr:colOff>
      <xdr:row>0</xdr:row>
      <xdr:rowOff>1</xdr:rowOff>
    </xdr:from>
    <xdr:to>
      <xdr:col>1</xdr:col>
      <xdr:colOff>1287780</xdr:colOff>
      <xdr:row>7</xdr:row>
      <xdr:rowOff>91441</xdr:rowOff>
    </xdr:to>
    <mc:AlternateContent xmlns:mc="http://schemas.openxmlformats.org/markup-compatibility/2006" xmlns:a14="http://schemas.microsoft.com/office/drawing/2010/main">
      <mc:Choice Requires="a14">
        <xdr:graphicFrame macro="">
          <xdr:nvGraphicFramePr>
            <xdr:cNvPr id="4" name="Status">
              <a:extLst>
                <a:ext uri="{FF2B5EF4-FFF2-40B4-BE49-F238E27FC236}">
                  <a16:creationId xmlns:a16="http://schemas.microsoft.com/office/drawing/2014/main" id="{0F98BB6A-0000-D37A-64CC-9E161702753E}"/>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851660" y="1"/>
              <a:ext cx="1828800" cy="1371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xdr:colOff>
      <xdr:row>0</xdr:row>
      <xdr:rowOff>7621</xdr:rowOff>
    </xdr:from>
    <xdr:to>
      <xdr:col>0</xdr:col>
      <xdr:colOff>1844040</xdr:colOff>
      <xdr:row>3</xdr:row>
      <xdr:rowOff>53341</xdr:rowOff>
    </xdr:to>
    <mc:AlternateContent xmlns:mc="http://schemas.openxmlformats.org/markup-compatibility/2006" xmlns:a14="http://schemas.microsoft.com/office/drawing/2010/main">
      <mc:Choice Requires="a14">
        <xdr:graphicFrame macro="">
          <xdr:nvGraphicFramePr>
            <xdr:cNvPr id="7" name="Created_year">
              <a:extLst>
                <a:ext uri="{FF2B5EF4-FFF2-40B4-BE49-F238E27FC236}">
                  <a16:creationId xmlns:a16="http://schemas.microsoft.com/office/drawing/2014/main" id="{B4B51DFA-EB0E-810E-B8C9-8BFE770565FF}"/>
                </a:ext>
              </a:extLst>
            </xdr:cNvPr>
            <xdr:cNvGraphicFramePr/>
          </xdr:nvGraphicFramePr>
          <xdr:xfrm>
            <a:off x="0" y="0"/>
            <a:ext cx="0" cy="0"/>
          </xdr:xfrm>
          <a:graphic>
            <a:graphicData uri="http://schemas.microsoft.com/office/drawing/2010/slicer">
              <sle:slicer xmlns:sle="http://schemas.microsoft.com/office/drawing/2010/slicer" name="Created_year"/>
            </a:graphicData>
          </a:graphic>
        </xdr:graphicFrame>
      </mc:Choice>
      <mc:Fallback xmlns="">
        <xdr:sp macro="" textlink="">
          <xdr:nvSpPr>
            <xdr:cNvPr id="0" name=""/>
            <xdr:cNvSpPr>
              <a:spLocks noTextEdit="1"/>
            </xdr:cNvSpPr>
          </xdr:nvSpPr>
          <xdr:spPr>
            <a:xfrm>
              <a:off x="15240" y="7621"/>
              <a:ext cx="1828800" cy="5943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xdr:colOff>
      <xdr:row>3</xdr:row>
      <xdr:rowOff>53341</xdr:rowOff>
    </xdr:from>
    <xdr:to>
      <xdr:col>0</xdr:col>
      <xdr:colOff>1844040</xdr:colOff>
      <xdr:row>10</xdr:row>
      <xdr:rowOff>160020</xdr:rowOff>
    </xdr:to>
    <mc:AlternateContent xmlns:mc="http://schemas.openxmlformats.org/markup-compatibility/2006" xmlns:a14="http://schemas.microsoft.com/office/drawing/2010/main">
      <mc:Choice Requires="a14">
        <xdr:graphicFrame macro="">
          <xdr:nvGraphicFramePr>
            <xdr:cNvPr id="8" name="Created_month">
              <a:extLst>
                <a:ext uri="{FF2B5EF4-FFF2-40B4-BE49-F238E27FC236}">
                  <a16:creationId xmlns:a16="http://schemas.microsoft.com/office/drawing/2014/main" id="{8DEE9E5B-8F6A-01B0-24A7-F4B69EED5A6A}"/>
                </a:ext>
              </a:extLst>
            </xdr:cNvPr>
            <xdr:cNvGraphicFramePr/>
          </xdr:nvGraphicFramePr>
          <xdr:xfrm>
            <a:off x="0" y="0"/>
            <a:ext cx="0" cy="0"/>
          </xdr:xfrm>
          <a:graphic>
            <a:graphicData uri="http://schemas.microsoft.com/office/drawing/2010/slicer">
              <sle:slicer xmlns:sle="http://schemas.microsoft.com/office/drawing/2010/slicer" name="Created_month"/>
            </a:graphicData>
          </a:graphic>
        </xdr:graphicFrame>
      </mc:Choice>
      <mc:Fallback xmlns="">
        <xdr:sp macro="" textlink="">
          <xdr:nvSpPr>
            <xdr:cNvPr id="0" name=""/>
            <xdr:cNvSpPr>
              <a:spLocks noTextEdit="1"/>
            </xdr:cNvSpPr>
          </xdr:nvSpPr>
          <xdr:spPr>
            <a:xfrm>
              <a:off x="15240" y="601981"/>
              <a:ext cx="1828800" cy="13868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1287780</xdr:colOff>
      <xdr:row>0</xdr:row>
      <xdr:rowOff>0</xdr:rowOff>
    </xdr:from>
    <xdr:to>
      <xdr:col>3</xdr:col>
      <xdr:colOff>556260</xdr:colOff>
      <xdr:row>7</xdr:row>
      <xdr:rowOff>114300</xdr:rowOff>
    </xdr:to>
    <mc:AlternateContent xmlns:mc="http://schemas.openxmlformats.org/markup-compatibility/2006" xmlns:a14="http://schemas.microsoft.com/office/drawing/2010/main">
      <mc:Choice Requires="a14">
        <xdr:graphicFrame macro="">
          <xdr:nvGraphicFramePr>
            <xdr:cNvPr id="9" name="Source">
              <a:extLst>
                <a:ext uri="{FF2B5EF4-FFF2-40B4-BE49-F238E27FC236}">
                  <a16:creationId xmlns:a16="http://schemas.microsoft.com/office/drawing/2014/main" id="{3C19AE47-19FD-3EEE-E244-6EAC15F2172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3680460" y="0"/>
              <a:ext cx="1828800" cy="13944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723900</xdr:colOff>
      <xdr:row>0</xdr:row>
      <xdr:rowOff>0</xdr:rowOff>
    </xdr:from>
    <xdr:to>
      <xdr:col>4</xdr:col>
      <xdr:colOff>1813560</xdr:colOff>
      <xdr:row>7</xdr:row>
      <xdr:rowOff>121920</xdr:rowOff>
    </xdr:to>
    <mc:AlternateContent xmlns:mc="http://schemas.openxmlformats.org/markup-compatibility/2006" xmlns:a14="http://schemas.microsoft.com/office/drawing/2010/main">
      <mc:Choice Requires="a14">
        <xdr:graphicFrame macro="">
          <xdr:nvGraphicFramePr>
            <xdr:cNvPr id="10" name="Industry">
              <a:extLst>
                <a:ext uri="{FF2B5EF4-FFF2-40B4-BE49-F238E27FC236}">
                  <a16:creationId xmlns:a16="http://schemas.microsoft.com/office/drawing/2014/main" id="{2EAD201E-936E-9715-04DA-2D8B2403F067}"/>
                </a:ext>
              </a:extLst>
            </xdr:cNvPr>
            <xdr:cNvGraphicFramePr/>
          </xdr:nvGraphicFramePr>
          <xdr:xfrm>
            <a:off x="0" y="0"/>
            <a:ext cx="0" cy="0"/>
          </xdr:xfrm>
          <a:graphic>
            <a:graphicData uri="http://schemas.microsoft.com/office/drawing/2010/slicer">
              <sle:slicer xmlns:sle="http://schemas.microsoft.com/office/drawing/2010/slicer" name="Industry"/>
            </a:graphicData>
          </a:graphic>
        </xdr:graphicFrame>
      </mc:Choice>
      <mc:Fallback xmlns="">
        <xdr:sp macro="" textlink="">
          <xdr:nvSpPr>
            <xdr:cNvPr id="0" name=""/>
            <xdr:cNvSpPr>
              <a:spLocks noTextEdit="1"/>
            </xdr:cNvSpPr>
          </xdr:nvSpPr>
          <xdr:spPr>
            <a:xfrm>
              <a:off x="5676900" y="0"/>
              <a:ext cx="1828800" cy="1402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167640</xdr:colOff>
      <xdr:row>3</xdr:row>
      <xdr:rowOff>7620</xdr:rowOff>
    </xdr:from>
    <xdr:to>
      <xdr:col>13</xdr:col>
      <xdr:colOff>129540</xdr:colOff>
      <xdr:row>10</xdr:row>
      <xdr:rowOff>60960</xdr:rowOff>
    </xdr:to>
    <xdr:graphicFrame macro="">
      <xdr:nvGraphicFramePr>
        <xdr:cNvPr id="3" name="Chart 2">
          <a:extLst>
            <a:ext uri="{FF2B5EF4-FFF2-40B4-BE49-F238E27FC236}">
              <a16:creationId xmlns:a16="http://schemas.microsoft.com/office/drawing/2014/main" id="{A414652C-3717-4BB4-8CB8-34F51FCB55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861060</xdr:colOff>
      <xdr:row>10</xdr:row>
      <xdr:rowOff>83820</xdr:rowOff>
    </xdr:from>
    <xdr:to>
      <xdr:col>13</xdr:col>
      <xdr:colOff>160020</xdr:colOff>
      <xdr:row>25</xdr:row>
      <xdr:rowOff>83820</xdr:rowOff>
    </xdr:to>
    <xdr:graphicFrame macro="">
      <xdr:nvGraphicFramePr>
        <xdr:cNvPr id="7" name="Chart 6">
          <a:extLst>
            <a:ext uri="{FF2B5EF4-FFF2-40B4-BE49-F238E27FC236}">
              <a16:creationId xmlns:a16="http://schemas.microsoft.com/office/drawing/2014/main" id="{1D7843BC-50F6-4407-8D33-FA8ABAA94B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137160</xdr:colOff>
      <xdr:row>2</xdr:row>
      <xdr:rowOff>175260</xdr:rowOff>
    </xdr:from>
    <xdr:to>
      <xdr:col>19</xdr:col>
      <xdr:colOff>403860</xdr:colOff>
      <xdr:row>25</xdr:row>
      <xdr:rowOff>53340</xdr:rowOff>
    </xdr:to>
    <xdr:graphicFrame macro="">
      <xdr:nvGraphicFramePr>
        <xdr:cNvPr id="9" name="Chart 8">
          <a:extLst>
            <a:ext uri="{FF2B5EF4-FFF2-40B4-BE49-F238E27FC236}">
              <a16:creationId xmlns:a16="http://schemas.microsoft.com/office/drawing/2014/main" id="{0586E51A-FC28-4C68-B67A-F2A28993AB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868680</xdr:colOff>
      <xdr:row>3</xdr:row>
      <xdr:rowOff>7620</xdr:rowOff>
    </xdr:from>
    <xdr:to>
      <xdr:col>6</xdr:col>
      <xdr:colOff>152400</xdr:colOff>
      <xdr:row>10</xdr:row>
      <xdr:rowOff>60960</xdr:rowOff>
    </xdr:to>
    <xdr:graphicFrame macro="">
      <xdr:nvGraphicFramePr>
        <xdr:cNvPr id="12" name="Chart 11">
          <a:extLst>
            <a:ext uri="{FF2B5EF4-FFF2-40B4-BE49-F238E27FC236}">
              <a16:creationId xmlns:a16="http://schemas.microsoft.com/office/drawing/2014/main" id="{E60323A3-066F-41FA-BCA6-F9360B5F45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7</xdr:row>
      <xdr:rowOff>45721</xdr:rowOff>
    </xdr:from>
    <xdr:to>
      <xdr:col>1</xdr:col>
      <xdr:colOff>952500</xdr:colOff>
      <xdr:row>14</xdr:row>
      <xdr:rowOff>91441</xdr:rowOff>
    </xdr:to>
    <mc:AlternateContent xmlns:mc="http://schemas.openxmlformats.org/markup-compatibility/2006" xmlns:a14="http://schemas.microsoft.com/office/drawing/2010/main">
      <mc:Choice Requires="a14">
        <xdr:graphicFrame macro="">
          <xdr:nvGraphicFramePr>
            <xdr:cNvPr id="13" name="Status 1">
              <a:extLst>
                <a:ext uri="{FF2B5EF4-FFF2-40B4-BE49-F238E27FC236}">
                  <a16:creationId xmlns:a16="http://schemas.microsoft.com/office/drawing/2014/main" id="{BC3700F9-BBE9-29BF-DA7C-B9A5A85471BD}"/>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0" y="1325881"/>
              <a:ext cx="1813560" cy="13258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xdr:row>
      <xdr:rowOff>45720</xdr:rowOff>
    </xdr:from>
    <xdr:to>
      <xdr:col>2</xdr:col>
      <xdr:colOff>0</xdr:colOff>
      <xdr:row>7</xdr:row>
      <xdr:rowOff>83819</xdr:rowOff>
    </xdr:to>
    <mc:AlternateContent xmlns:mc="http://schemas.openxmlformats.org/markup-compatibility/2006" xmlns:a14="http://schemas.microsoft.com/office/drawing/2010/main">
      <mc:Choice Requires="a14">
        <xdr:graphicFrame macro="">
          <xdr:nvGraphicFramePr>
            <xdr:cNvPr id="14" name="Created_year 1">
              <a:extLst>
                <a:ext uri="{FF2B5EF4-FFF2-40B4-BE49-F238E27FC236}">
                  <a16:creationId xmlns:a16="http://schemas.microsoft.com/office/drawing/2014/main" id="{870A778F-D634-D5DE-4C17-FBD512B8FA2F}"/>
                </a:ext>
              </a:extLst>
            </xdr:cNvPr>
            <xdr:cNvGraphicFramePr/>
          </xdr:nvGraphicFramePr>
          <xdr:xfrm>
            <a:off x="0" y="0"/>
            <a:ext cx="0" cy="0"/>
          </xdr:xfrm>
          <a:graphic>
            <a:graphicData uri="http://schemas.microsoft.com/office/drawing/2010/slicer">
              <sle:slicer xmlns:sle="http://schemas.microsoft.com/office/drawing/2010/slicer" name="Created_year 1"/>
            </a:graphicData>
          </a:graphic>
        </xdr:graphicFrame>
      </mc:Choice>
      <mc:Fallback xmlns="">
        <xdr:sp macro="" textlink="">
          <xdr:nvSpPr>
            <xdr:cNvPr id="0" name=""/>
            <xdr:cNvSpPr>
              <a:spLocks noTextEdit="1"/>
            </xdr:cNvSpPr>
          </xdr:nvSpPr>
          <xdr:spPr>
            <a:xfrm>
              <a:off x="0" y="594360"/>
              <a:ext cx="1828800" cy="7696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xdr:colOff>
      <xdr:row>14</xdr:row>
      <xdr:rowOff>68581</xdr:rowOff>
    </xdr:from>
    <xdr:to>
      <xdr:col>2</xdr:col>
      <xdr:colOff>7620</xdr:colOff>
      <xdr:row>25</xdr:row>
      <xdr:rowOff>129541</xdr:rowOff>
    </xdr:to>
    <mc:AlternateContent xmlns:mc="http://schemas.openxmlformats.org/markup-compatibility/2006" xmlns:a14="http://schemas.microsoft.com/office/drawing/2010/main">
      <mc:Choice Requires="a14">
        <xdr:graphicFrame macro="">
          <xdr:nvGraphicFramePr>
            <xdr:cNvPr id="15" name="Created_month 1">
              <a:extLst>
                <a:ext uri="{FF2B5EF4-FFF2-40B4-BE49-F238E27FC236}">
                  <a16:creationId xmlns:a16="http://schemas.microsoft.com/office/drawing/2014/main" id="{84890E64-ED55-A108-281E-51783B42B982}"/>
                </a:ext>
              </a:extLst>
            </xdr:cNvPr>
            <xdr:cNvGraphicFramePr/>
          </xdr:nvGraphicFramePr>
          <xdr:xfrm>
            <a:off x="0" y="0"/>
            <a:ext cx="0" cy="0"/>
          </xdr:xfrm>
          <a:graphic>
            <a:graphicData uri="http://schemas.microsoft.com/office/drawing/2010/slicer">
              <sle:slicer xmlns:sle="http://schemas.microsoft.com/office/drawing/2010/slicer" name="Created_month 1"/>
            </a:graphicData>
          </a:graphic>
        </xdr:graphicFrame>
      </mc:Choice>
      <mc:Fallback xmlns="">
        <xdr:sp macro="" textlink="">
          <xdr:nvSpPr>
            <xdr:cNvPr id="0" name=""/>
            <xdr:cNvSpPr>
              <a:spLocks noTextEdit="1"/>
            </xdr:cNvSpPr>
          </xdr:nvSpPr>
          <xdr:spPr>
            <a:xfrm>
              <a:off x="7620" y="2628901"/>
              <a:ext cx="1828800" cy="20726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7620</xdr:colOff>
      <xdr:row>3</xdr:row>
      <xdr:rowOff>45720</xdr:rowOff>
    </xdr:from>
    <xdr:to>
      <xdr:col>4</xdr:col>
      <xdr:colOff>617220</xdr:colOff>
      <xdr:row>16</xdr:row>
      <xdr:rowOff>135255</xdr:rowOff>
    </xdr:to>
    <mc:AlternateContent xmlns:mc="http://schemas.openxmlformats.org/markup-compatibility/2006" xmlns:a14="http://schemas.microsoft.com/office/drawing/2010/main">
      <mc:Choice Requires="a14">
        <xdr:graphicFrame macro="">
          <xdr:nvGraphicFramePr>
            <xdr:cNvPr id="16" name="Industry 1">
              <a:extLst>
                <a:ext uri="{FF2B5EF4-FFF2-40B4-BE49-F238E27FC236}">
                  <a16:creationId xmlns:a16="http://schemas.microsoft.com/office/drawing/2014/main" id="{B0E30AB9-424F-4BFA-AEC0-F39EAB4877DD}"/>
                </a:ext>
              </a:extLst>
            </xdr:cNvPr>
            <xdr:cNvGraphicFramePr/>
          </xdr:nvGraphicFramePr>
          <xdr:xfrm>
            <a:off x="0" y="0"/>
            <a:ext cx="0" cy="0"/>
          </xdr:xfrm>
          <a:graphic>
            <a:graphicData uri="http://schemas.microsoft.com/office/drawing/2010/slicer">
              <sle:slicer xmlns:sle="http://schemas.microsoft.com/office/drawing/2010/slicer" name="Industry 1"/>
            </a:graphicData>
          </a:graphic>
        </xdr:graphicFrame>
      </mc:Choice>
      <mc:Fallback xmlns="">
        <xdr:sp macro="" textlink="">
          <xdr:nvSpPr>
            <xdr:cNvPr id="0" name=""/>
            <xdr:cNvSpPr>
              <a:spLocks noTextEdit="1"/>
            </xdr:cNvSpPr>
          </xdr:nvSpPr>
          <xdr:spPr>
            <a:xfrm>
              <a:off x="1836420" y="5943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7620</xdr:colOff>
      <xdr:row>16</xdr:row>
      <xdr:rowOff>152401</xdr:rowOff>
    </xdr:from>
    <xdr:to>
      <xdr:col>4</xdr:col>
      <xdr:colOff>617220</xdr:colOff>
      <xdr:row>25</xdr:row>
      <xdr:rowOff>121921</xdr:rowOff>
    </xdr:to>
    <mc:AlternateContent xmlns:mc="http://schemas.openxmlformats.org/markup-compatibility/2006" xmlns:a14="http://schemas.microsoft.com/office/drawing/2010/main">
      <mc:Choice Requires="a14">
        <xdr:graphicFrame macro="">
          <xdr:nvGraphicFramePr>
            <xdr:cNvPr id="17" name="Country">
              <a:extLst>
                <a:ext uri="{FF2B5EF4-FFF2-40B4-BE49-F238E27FC236}">
                  <a16:creationId xmlns:a16="http://schemas.microsoft.com/office/drawing/2014/main" id="{765021D3-E870-5068-BA2A-F2EE9CEB55BC}"/>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836420" y="3078481"/>
              <a:ext cx="1828800" cy="16154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137160</xdr:rowOff>
    </xdr:from>
    <xdr:to>
      <xdr:col>21</xdr:col>
      <xdr:colOff>53340</xdr:colOff>
      <xdr:row>2</xdr:row>
      <xdr:rowOff>106680</xdr:rowOff>
    </xdr:to>
    <xdr:sp macro="" textlink="">
      <xdr:nvSpPr>
        <xdr:cNvPr id="18" name="Rectangle 17">
          <a:extLst>
            <a:ext uri="{FF2B5EF4-FFF2-40B4-BE49-F238E27FC236}">
              <a16:creationId xmlns:a16="http://schemas.microsoft.com/office/drawing/2014/main" id="{260F185A-7D93-8501-00C4-836A0E29A4F5}"/>
            </a:ext>
          </a:extLst>
        </xdr:cNvPr>
        <xdr:cNvSpPr/>
      </xdr:nvSpPr>
      <xdr:spPr>
        <a:xfrm>
          <a:off x="0" y="137160"/>
          <a:ext cx="15560040" cy="335280"/>
        </a:xfrm>
        <a:prstGeom prst="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solidFill>
                <a:schemeClr val="tx1"/>
              </a:solidFill>
            </a:rPr>
            <a:t>Sales Report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dhan PM" refreshedDate="45541.672604513886" createdVersion="8" refreshedVersion="8" minRefreshableVersion="3" recordCount="337" xr:uid="{8ADDF61E-81D8-4490-A0B0-6C3682F5E392}">
  <cacheSource type="worksheet">
    <worksheetSource name="Myrange"/>
  </cacheSource>
  <cacheFields count="24">
    <cacheField name="Sl.No" numFmtId="0">
      <sharedItems containsSemiMixedTypes="0" containsString="0" containsNumber="1" containsInteger="1" minValue="1" maxValue="337"/>
    </cacheField>
    <cacheField name="Created" numFmtId="0">
      <sharedItems containsDate="1" containsMixedTypes="1" minDate="2018-04-25T00:00:00" maxDate="2018-10-13T00:00:00"/>
    </cacheField>
    <cacheField name="Created_year" numFmtId="14">
      <sharedItems containsNonDate="0" count="1">
        <s v="2018"/>
      </sharedItems>
    </cacheField>
    <cacheField name="Created_month" numFmtId="14">
      <sharedItems containsNonDate="0" count="7">
        <s v="Apr"/>
        <s v="May"/>
        <s v="Jun"/>
        <s v="Jul"/>
        <s v="Aug"/>
        <s v="Sep"/>
        <s v="Oct"/>
      </sharedItems>
    </cacheField>
    <cacheField name="Last Modified" numFmtId="0">
      <sharedItems containsDate="1" containsMixedTypes="1" minDate="2018-04-25T00:00:00" maxDate="2018-10-13T00:00:00"/>
    </cacheField>
    <cacheField name="Last Modified_month" numFmtId="14">
      <sharedItems containsNonDate="0"/>
    </cacheField>
    <cacheField name="Country" numFmtId="0">
      <sharedItems count="53">
        <s v="Malaysia"/>
        <s v="USA"/>
        <s v="Singapore"/>
        <s v="New York, USA"/>
        <s v="Netherlands"/>
        <s v="Germany"/>
        <s v="Hong Kong"/>
        <s v="Remote"/>
        <s v="Switzerland"/>
        <s v="Canada"/>
        <s v="Nigeria"/>
        <s v="Australia"/>
        <s v="Israel"/>
        <s v="UK"/>
        <s v="Finland"/>
        <s v="Egypt"/>
        <s v="Portugal"/>
        <s v="UAE, Dubai"/>
        <s v="Denmark"/>
        <s v="Austria"/>
        <s v="Spain"/>
        <s v="France"/>
        <s v="Russia"/>
        <s v="Italy"/>
        <s v="Brazil"/>
        <s v="Greece"/>
        <s v="Sweden"/>
        <s v="Colombia"/>
        <s v="Dublin"/>
        <s v="Barcelona"/>
        <s v="Berlin"/>
        <s v="Kenya"/>
        <s v="Czech Republic"/>
        <s v="Bahrain"/>
        <s v="Mexico"/>
        <s v="US"/>
        <s v="Cameroon"/>
        <s v="UAE"/>
        <s v="Turkey"/>
        <s v="Isreal"/>
        <s v="Malta"/>
        <s v="Bulgaria"/>
        <s v="Ireland"/>
        <s v="Thailand"/>
        <s v="Peru"/>
        <s v="London"/>
        <s v="Dubai"/>
        <s v="Brooklyn"/>
        <s v="Austin"/>
        <s v="Los Angels"/>
        <s v="Dallas"/>
        <s v="Switcherland"/>
        <s v="Japan"/>
      </sharedItems>
    </cacheField>
    <cacheField name="Company/Account" numFmtId="0">
      <sharedItems containsBlank="1" count="331">
        <s v="The New Malaya"/>
        <s v="Boxclue"/>
        <s v="First Page Pte. Ltd"/>
        <s v="Tide Creatives"/>
        <s v="Deevoted LLC"/>
        <s v="Sevens ICT"/>
        <s v="Cas Ebbers ICT"/>
        <s v="DevMob - Web | Mobile | Security"/>
        <s v="Snapscene Pte Ltd"/>
        <s v="Tanzire"/>
        <s v="Deemples"/>
        <s v="Stranger Soccer"/>
        <s v="Coinected.io"/>
        <s v="vediohead"/>
        <s v="Lumiere32"/>
        <s v="AlemHealth"/>
        <s v="Inventrik Pte Ltd"/>
        <s v="CombineSell"/>
        <m/>
        <s v="Upleap"/>
        <s v="V4UL7 AG"/>
        <s v="EMAGIN"/>
        <s v="Requana"/>
        <s v="CollabHero"/>
        <s v="Ifcon Technology"/>
        <s v="Yedpay"/>
        <s v="BeScene"/>
        <s v="Dioworks Learning Sdn Bhd"/>
        <s v="Actigage Pte Ltd"/>
        <s v="Mentorica Technology Pte. Ltd"/>
        <s v="Breakthrough Innovation Lab"/>
        <s v="Meisterwerk-App"/>
        <s v="Haulio Pte Ltd"/>
        <s v="Fatfish Internet Group"/>
        <s v="Vase.ai"/>
        <s v="Werebits"/>
        <s v="Bereev"/>
        <s v="Omnilytics"/>
        <s v="uHoo"/>
        <s v="Plasma Bank"/>
        <s v="fidentiaX"/>
        <s v="Pulse iD"/>
        <s v="Utrum"/>
        <s v="Point Hacks"/>
        <s v="Picoded"/>
        <s v="Auk.Industries"/>
        <s v="Cloudaron Pte Ltd"/>
        <s v="Groupstar"/>
        <s v="Actively Inc"/>
        <s v="Jibble music"/>
        <s v="Nexasoft Sdn Bhd"/>
        <s v="Tetrium.io"/>
        <s v="Penefit Sdn Bhd"/>
        <s v="Blocklime"/>
        <s v="CodiGeeks"/>
        <s v="Moon Assist"/>
        <s v="EQUITY X"/>
        <s v="Cybersprout Pte Ltd"/>
        <s v="Spot Works"/>
        <s v="Presnsr"/>
        <s v="CoatConnect"/>
        <s v="Archangel Imaging"/>
        <s v="iGeolise Ltd"/>
        <s v="CladNetwork"/>
        <s v="Parkware"/>
        <s v="B HIVE"/>
        <s v="GoParkr"/>
        <s v="Kopernio"/>
        <s v="Skedda Bookings"/>
        <s v="PPC Protect"/>
        <s v="NOVALUME"/>
        <s v="See-Mode Technologies"/>
        <s v="The Dealer App"/>
        <s v="Crypto-Potential"/>
        <s v="Jingle"/>
        <s v="Qritive"/>
        <s v="TripMedic"/>
        <s v="Chainstack"/>
        <s v="Ludic Games Pte Ltd"/>
        <s v="SensorFlow"/>
        <s v="Lomotif"/>
        <s v="AlphaWallet"/>
        <s v="Gowild Singapore Pte Ltd"/>
        <s v="Harvestr"/>
        <s v="Ranos - Pollution Monitoring"/>
        <s v="Feedeos"/>
        <s v="OnCare"/>
        <s v="Creatorus"/>
        <s v="Template Robot"/>
        <s v="RoomMate"/>
        <s v="itStalk"/>
        <s v="HireFlows HR Solutions"/>
        <s v="Keyp GmbH"/>
        <s v="Fledglink"/>
        <s v="Discourze"/>
        <s v="Futways"/>
        <s v="Golf Hub"/>
        <s v="OAK Eco Technologies"/>
        <s v="Influencerz.io"/>
        <s v="nevaal"/>
        <s v="DEXTCLOUD"/>
        <s v="InProved Energy and Resource"/>
        <s v="PassKit"/>
        <s v="SNSoft Sdn Bhd"/>
        <s v="Plato Medical"/>
        <s v="ContactsDaily"/>
        <s v="FOMO Pay"/>
        <s v="Industrial Electronics Pte Ltd"/>
        <s v="Maple Intelligence"/>
        <s v="Seedly"/>
        <s v="Alphien SAS"/>
        <s v="Four Elements Capital Pte Ltd"/>
        <s v="Zynesis"/>
        <s v="Want Things Done"/>
        <s v="SendForensics"/>
        <s v="Bookster AB"/>
        <s v="LetMePark"/>
        <s v="Castella"/>
        <s v="Vypno"/>
        <s v="Digit Agency"/>
        <s v="Vesto - Save &amp; Invest Together"/>
        <s v="Teeb TV"/>
        <s v="The Hour Glass Ltd"/>
        <s v="Mightcast Pte Ltd"/>
        <s v="Tribo"/>
        <s v="Parade"/>
        <s v="ATELIER &amp; AVENUE"/>
        <s v="Calt Dynamics"/>
        <s v="Appvia"/>
        <s v="Ultimate Boxxer"/>
        <s v="CRIPT"/>
        <s v="PayrollPanda"/>
        <s v="Loca Asia Sdn Bhd"/>
        <s v="Doctor Anywhere"/>
        <s v="Cudy Pte. Ltd"/>
        <s v="Liane"/>
        <s v="Mucho by The Cook-In Company Limited"/>
        <s v="Mobly"/>
        <s v="Elementus"/>
        <s v="Capexmove"/>
        <s v="Sopinet Software"/>
        <s v="KIProtect"/>
        <s v="alt HR"/>
        <s v="Tourego Pte Ltd"/>
        <s v="Grab Haulier Sdn Bhd"/>
        <s v="ThinkCol Limited"/>
        <s v="The2uo"/>
        <s v="Appzilo"/>
        <s v="Encore Med Sdn Bhd"/>
        <s v="Eunoia"/>
        <s v="Pandorabox Malaysia"/>
        <s v="Accela Pte Ltd"/>
        <s v="MyBump Media Sdn Bhd"/>
        <s v="Durrows"/>
        <s v="WheelChef"/>
        <s v="Akeles Consulting Pte Ltd"/>
        <s v="Ocean Nexus Sdn Bhd"/>
        <s v="Zeguestlist - Intelligent Events"/>
        <s v="Carmen Automotive"/>
        <s v="Luminovo Artificial Intelligence"/>
        <s v="Stars &amp; Cows SOC.COOP"/>
        <s v="Schema ltd."/>
        <s v="True AI"/>
        <s v="Moona"/>
        <s v="Weedea | Communication &amp; Coding Lab"/>
        <s v="Amplify Intelligence Pty Ltd"/>
        <s v="Transpooler"/>
        <s v="AlliedCrowds"/>
        <s v="FARMRITE LIMITED"/>
        <s v="ISSME Student Services Inc."/>
        <s v="Wetaxi"/>
        <s v="Stonefriar Capital Limited"/>
        <s v="Tiba Life"/>
        <s v="SoBus"/>
        <s v="Virtubio"/>
        <s v="BloomThis"/>
        <s v="POPA Channel"/>
        <s v="Synchroweb Technology"/>
        <s v="AsiaMX (Asia Media Exchange)"/>
        <s v="CapitalBay"/>
        <s v="MeEduca"/>
        <s v="NOOW.WORLD"/>
        <s v="The Stories Studio"/>
        <s v="Monkee"/>
        <s v="Vixtape"/>
        <s v="Premia Network"/>
        <s v="RADIOActive.sg"/>
        <s v="TenderBoard Private Limited"/>
        <s v="Hook Coffee"/>
        <s v="JETZY"/>
        <s v="Movel AI"/>
        <s v="Datavis Pte Ltd"/>
        <s v="Untangle AI"/>
        <s v="Smartblktrade"/>
        <s v="Vibease"/>
        <s v="mybitwallet"/>
        <s v="SpreadSheep"/>
        <s v="Render Music, Inc"/>
        <s v="Kota"/>
        <s v="KryptoPOS"/>
        <s v="Foundation for Community Development"/>
        <s v="DoorsVision"/>
        <s v="STYCKR"/>
        <s v="Musiverse"/>
        <s v="Bellamaterna Brazil"/>
        <s v="Ilao"/>
        <s v="NeverFiat"/>
        <s v="OneFID GmbH"/>
        <s v="Koobby - fitness app"/>
        <s v="ApTap LTD"/>
        <s v="Gilytics"/>
        <s v="NinjaMoba"/>
        <s v="QVSTA"/>
        <s v="TG0"/>
        <s v="B2Book.net"/>
        <s v="QuaNode"/>
        <s v="voomenu"/>
        <s v="Knowlers"/>
        <s v="Seeka Technology"/>
        <s v="Taze Şef"/>
        <s v="Ottoo"/>
        <s v="RiceAppy"/>
        <s v="AdTonos"/>
        <s v="Consult.law"/>
        <s v="PackitUp IVS"/>
        <s v="Shiroi Boushi"/>
        <s v="Pirsonal"/>
        <s v="Vingineers"/>
        <s v="Splittypay"/>
        <s v="AIRPLAY TV LTD"/>
        <s v="My1Min® - by Technology with a Heart AS"/>
        <s v="Memento"/>
        <s v="The Other Dimension 52"/>
        <s v="Avenue 8"/>
        <s v="Xtra PlayAR"/>
        <s v="iWoop"/>
        <s v="Maja Solutions Sdn. Bhd"/>
        <s v="7C Laboratories"/>
        <s v="Gabbi.AI"/>
        <s v="Innerspace"/>
        <s v="PACLA MEDICAL"/>
        <s v="Subsec"/>
        <s v="Pest Pulse"/>
        <s v="Crowdmap"/>
        <s v="Wecudos"/>
        <s v="Beez"/>
        <s v="PostCo"/>
        <s v="DoctorXDentist"/>
        <s v="Hapz"/>
        <s v="Helicap"/>
        <s v="Pupil Labs"/>
        <s v="Contaxer"/>
        <s v="Wonderlander"/>
        <s v="ISHU"/>
        <s v="Money Mall"/>
        <s v="dotGIS"/>
        <s v="Quaira"/>
        <s v="CashCoach"/>
        <s v="VR:CALM"/>
        <s v="PharmaVgate Academy"/>
        <s v="3DApartment"/>
        <s v="BrightAngle"/>
        <s v="Koi Story Studio"/>
        <s v="Rebel Role Model"/>
        <s v="AVNT"/>
        <s v="iMotorbike.com"/>
        <s v="Zing Healthcare Sdn Bhd"/>
        <s v="Street Life ME"/>
        <s v=" Syntherion"/>
        <s v="Quanterium Technologies"/>
        <s v="fweels"/>
        <s v="ULTRA IoT"/>
        <s v="Sitemate"/>
        <s v="PoweredLocal"/>
        <s v="FlowPress"/>
        <s v="Medmain Inc"/>
        <s v="WebPunch"/>
        <s v="Alt &amp; Dot"/>
        <s v="A LITTLE FIND"/>
        <s v="Incentive Games"/>
        <s v="Hitchbird"/>
        <s v="Propine Capital"/>
        <s v="CtrlWorks Pte Ltd"/>
        <s v="Healthzilla"/>
        <s v="Upstack Studio"/>
        <s v="MobileOne Technology Sdn Bhd"/>
        <s v="Clutche Tech Inc"/>
        <s v="HPAcoin"/>
        <s v="Elysian AI"/>
        <s v="Twigdoo"/>
        <s v="ORDA"/>
        <s v="AIO Fitness UK Ltd"/>
        <s v="Stockflare"/>
        <s v="Nameless Interactive"/>
        <s v="Nimbla"/>
        <s v="Venturist"/>
        <s v="Squirrel Financial Wellbeing"/>
        <s v="sync.money"/>
        <s v="Migacore Technologies"/>
        <s v="Chronomics, Ltd"/>
        <s v="Therapy Box"/>
        <s v="SportPursuit"/>
        <s v="Verlocal"/>
        <s v="Travalr"/>
        <s v="XinFin (eXchange INFINite) Foundation"/>
        <s v="LogisticsX"/>
        <s v="Trunk Tech Pte Ltd"/>
        <s v="Pionr"/>
        <s v="Invygo"/>
        <s v="Ayuda Heuristics"/>
        <s v="Coinzettle"/>
        <s v="Core Blue Ltd"/>
        <s v="CIQ Group"/>
        <s v=" Predina Limited"/>
        <s v="causaLens"/>
        <s v="Aquila Logic"/>
        <s v="Forward Health"/>
        <s v="bakkaldan"/>
        <s v="Neo Soul Entertainment"/>
        <s v="Camcheck"/>
        <s v="Scape Technologies"/>
        <s v="Verado"/>
        <s v="Tiney.co"/>
        <s v="Prime Factor Capital"/>
        <s v="BetaSight Technologies"/>
        <s v="Little Nugget"/>
        <s v="Surfboard"/>
        <s v="Zotto Soluções Mobile"/>
        <s v="Tamoco"/>
        <s v="Verv"/>
        <s v="Arctoris"/>
      </sharedItems>
    </cacheField>
    <cacheField name="Industry" numFmtId="0">
      <sharedItems containsBlank="1" count="74">
        <s v="Online Media"/>
        <s v="Blog"/>
        <s v="Digital Agency"/>
        <s v="Augmented Reality"/>
        <s v="Luxury Goods &amp; Jewelry"/>
        <s v="Sports"/>
        <s v="Financial Services"/>
        <s v="E-commerce"/>
        <s v="Health/Medical"/>
        <s v="Information Technology and Services "/>
        <m/>
        <s v="Marketing and Advertising"/>
        <s v="Civil Engineering"/>
        <s v="Internet"/>
        <s v="E - learing"/>
        <s v="Events Services"/>
        <s v="Logistics and Supply Chain"/>
        <s v="Market Research "/>
        <s v="Computer Software"/>
        <s v="Apparel &amp; Fashion"/>
        <s v="Real Estate"/>
        <s v="Computer &amp; Network Security"/>
        <s v="Media Production"/>
        <s v="Mechanical or Industrial Engineering"/>
        <s v="Health, Wellness and Fitness"/>
        <s v="Music"/>
        <s v="Design"/>
        <s v="Consumer Electronics"/>
        <s v="Transportation/Trucking/Railroad"/>
        <s v="Events &amp; Exhibitions Apps"/>
        <s v="Information Services"/>
        <s v="Medical Devices"/>
        <s v="Entertainment"/>
        <s v="Computer Games"/>
        <s v="Human Resources"/>
        <s v="Influencer Marketing"/>
        <s v="Investment Banking"/>
        <s v="Industrial Automation"/>
        <s v="Investment Management"/>
        <s v="Broadcast Media"/>
        <s v="Consumer Goods"/>
        <s v="Management Consulting"/>
        <s v="Hospital &amp; Health Care"/>
        <s v="Individual &amp; Family Services"/>
        <s v="Food &amp; Beverages"/>
        <s v="Capital Markets"/>
        <s v="Information Technology and Services"/>
        <s v="Automotive"/>
        <s v="Education"/>
        <s v="Transportation"/>
        <s v="Retail"/>
        <s v="Higher Education"/>
        <s v="Telecommunications"/>
        <s v="Research"/>
        <s v="Agriculture"/>
        <s v="Wireless"/>
        <s v="Film Production"/>
        <s v="Crypto Marketplace"/>
        <s v="Hospitality"/>
        <s v="Legal Services"/>
        <s v="Fitness"/>
        <s v="Artificial Intelligence"/>
        <s v="Environmental Services"/>
        <s v="Fashion"/>
        <s v="Computer Security"/>
        <s v="Augument/Virtual Reality"/>
        <s v="Education - AR VR"/>
        <s v="Consumer Services"/>
        <s v="Leisure, Travel &amp; Tourism"/>
        <s v="Airlines/Aviation"/>
        <s v="Biotechnology"/>
        <s v="Program Development"/>
        <s v="Sporting Goods"/>
        <s v="Primary/Secondary Education"/>
      </sharedItems>
    </cacheField>
    <cacheField name="URL" numFmtId="0">
      <sharedItems containsBlank="1"/>
    </cacheField>
    <cacheField name="Saluation" numFmtId="0">
      <sharedItems containsBlank="1"/>
    </cacheField>
    <cacheField name="CEO/Founder/Owner" numFmtId="0">
      <sharedItems containsBlank="1"/>
    </cacheField>
    <cacheField name="Contact no" numFmtId="0">
      <sharedItems containsBlank="1"/>
    </cacheField>
    <cacheField name="Email Id" numFmtId="0">
      <sharedItems containsBlank="1"/>
    </cacheField>
    <cacheField name="Secondary Contact" numFmtId="0">
      <sharedItems containsBlank="1"/>
    </cacheField>
    <cacheField name="Contact no2" numFmtId="0">
      <sharedItems containsBlank="1"/>
    </cacheField>
    <cacheField name="Email Id2" numFmtId="0">
      <sharedItems containsBlank="1"/>
    </cacheField>
    <cacheField name="Description" numFmtId="0">
      <sharedItems containsBlank="1"/>
    </cacheField>
    <cacheField name="Call/Email Progress" numFmtId="0">
      <sharedItems containsBlank="1" longText="1"/>
    </cacheField>
    <cacheField name="Status" numFmtId="0">
      <sharedItems count="4">
        <s v="No Progress"/>
        <s v="Cold"/>
        <s v="Warm"/>
        <s v="Hot"/>
      </sharedItems>
    </cacheField>
    <cacheField name="Source_Site" numFmtId="0">
      <sharedItems containsBlank="1"/>
    </cacheField>
    <cacheField name="Source" numFmtId="0">
      <sharedItems count="13">
        <s v="e27.co"/>
        <s v="joba.co"/>
        <s v="No Source"/>
        <s v="startupjobs.asia"/>
        <s v="www.techinasia.com"/>
        <s v="www.weworkmeteor.com"/>
        <s v="www.f6s.com"/>
        <s v="angel.co"/>
        <s v="remote.co"/>
        <s v="workroll.com"/>
        <s v="weworkremotely.com"/>
        <e v="#VALUE!"/>
        <s v="workinstartups.com"/>
      </sharedItems>
    </cacheField>
    <cacheField name="Linkedin Page" numFmtId="0">
      <sharedItems containsBlank="1"/>
    </cacheField>
    <cacheField name="Conversation_Sentiment" numFmtId="0">
      <sharedItems count="3">
        <s v="Neutral"/>
        <s v="Negative"/>
        <s v="Positive"/>
      </sharedItems>
    </cacheField>
  </cacheFields>
  <extLst>
    <ext xmlns:x14="http://schemas.microsoft.com/office/spreadsheetml/2009/9/main" uri="{725AE2AE-9491-48be-B2B4-4EB974FC3084}">
      <x14:pivotCacheDefinition pivotCacheId="20176182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7">
  <r>
    <n v="1"/>
    <d v="2018-04-25T00:00:00"/>
    <x v="0"/>
    <x v="0"/>
    <d v="2018-04-25T00:00:00"/>
    <s v="Apr"/>
    <x v="0"/>
    <x v="0"/>
    <x v="0"/>
    <m/>
    <s v="Mr"/>
    <s v="Harivendran Nathan"/>
    <m/>
    <m/>
    <m/>
    <m/>
    <m/>
    <m/>
    <s v="Messaged via e27."/>
    <x v="0"/>
    <s v="https://e27.co/startup/the-new-malaya"/>
    <x v="0"/>
    <s v="https://www.linkedin.com/company/thenewmalaya/"/>
    <x v="0"/>
  </r>
  <r>
    <n v="2"/>
    <s v="25/4/2018"/>
    <x v="0"/>
    <x v="0"/>
    <d v="2018-04-25T00:00:00"/>
    <s v="Apr"/>
    <x v="1"/>
    <x v="1"/>
    <x v="1"/>
    <s v="https://boxclue.co"/>
    <s v="Mr"/>
    <s v="Yanju Taiwo"/>
    <m/>
    <m/>
    <m/>
    <m/>
    <m/>
    <m/>
    <s v="Messaged via e27."/>
    <x v="0"/>
    <s v="https://e27.co/startup/boxclue"/>
    <x v="0"/>
    <m/>
    <x v="0"/>
  </r>
  <r>
    <n v="3"/>
    <s v="25/4/2018"/>
    <x v="0"/>
    <x v="0"/>
    <d v="2018-06-06T00:00:00"/>
    <s v="Jun"/>
    <x v="2"/>
    <x v="2"/>
    <x v="2"/>
    <s v="https://www.firstpage.asia/"/>
    <s v="Mr"/>
    <s v="Juvon Ang(operations)"/>
    <s v="Off - +65 6315 1420"/>
    <s v="Juvon@firstpage.asia"/>
    <m/>
    <m/>
    <s v="info@firstpage.asia"/>
    <m/>
    <s v="May 14th - Cold email./May 28th - Called - No answer - 1st Followup email send./May 31st - Called - No answer./June 6th - No answer - 2nd followup email."/>
    <x v="0"/>
    <s v="https://e27.co/startup/first-page-pte-ltd"/>
    <x v="0"/>
    <s v="https://www.linkedin.com/company/first-page-pte-ltd/"/>
    <x v="1"/>
  </r>
  <r>
    <n v="4"/>
    <s v="25/4/2018"/>
    <x v="0"/>
    <x v="0"/>
    <d v="2018-06-06T00:00:00"/>
    <s v="Jun"/>
    <x v="0"/>
    <x v="3"/>
    <x v="2"/>
    <s v="https://www.tidecreatives.com"/>
    <s v="Mis"/>
    <s v="Catherine Seow"/>
    <m/>
    <s v="Catherine@tidecreatives.com"/>
    <m/>
    <m/>
    <s v="catseow1995@gmail.com"/>
    <m/>
    <s v="May 28th - Cold email./June 6th - 1st followup email."/>
    <x v="0"/>
    <s v="https://e27.co/startup/tide-creatives"/>
    <x v="0"/>
    <s v="https://www.linkedin.com/in/catherineseow/"/>
    <x v="0"/>
  </r>
  <r>
    <n v="5"/>
    <s v="25/4/2018"/>
    <x v="0"/>
    <x v="0"/>
    <d v="2018-06-19T00:00:00"/>
    <s v="Jun"/>
    <x v="3"/>
    <x v="4"/>
    <x v="2"/>
    <s v="http://deevoted.com/"/>
    <s v="Mr"/>
    <s v="Adam Leder(President + Technical Director)"/>
    <m/>
    <s v="Adam@deevoted.com"/>
    <m/>
    <m/>
    <m/>
    <m/>
    <s v="May 28th - Cold email./June 6th - 1st followup email./June 19th - 2nd followup email."/>
    <x v="0"/>
    <s v="https://joba.co/us/web-developer"/>
    <x v="1"/>
    <s v="https://www.linkedin.com/company/deevoted-llc/"/>
    <x v="0"/>
  </r>
  <r>
    <n v="6"/>
    <d v="2018-05-05T00:00:00"/>
    <x v="0"/>
    <x v="1"/>
    <d v="2018-05-30T00:00:00"/>
    <s v="May"/>
    <x v="4"/>
    <x v="5"/>
    <x v="2"/>
    <s v="https://sevensict.nl/"/>
    <s v="Mr"/>
    <s v="Peter Sevens"/>
    <s v="Off - 06-41281128"/>
    <s v="peter@sevensict.nl"/>
    <m/>
    <m/>
    <s v="info@sevensict.nl"/>
    <m/>
    <s v="May 5th - Linkedin message &amp; request sent./May 28th - Cold email./May 30th - Called Peter - not interested."/>
    <x v="1"/>
    <m/>
    <x v="2"/>
    <s v="http://linkedin.com/in/psevens"/>
    <x v="1"/>
  </r>
  <r>
    <n v="7"/>
    <d v="2018-05-05T00:00:00"/>
    <x v="0"/>
    <x v="1"/>
    <d v="2018-06-21T00:00:00"/>
    <s v="Jun"/>
    <x v="4"/>
    <x v="6"/>
    <x v="2"/>
    <s v="http://www.cas-ebbers.nl/"/>
    <s v="Mr"/>
    <s v="Cas Ebbers"/>
    <s v="Off - :+31636180545(Call charged heavily)"/>
    <s v="cjaebbers@gmail.com"/>
    <m/>
    <m/>
    <m/>
    <m/>
    <s v="May 5th - Linkedin message &amp; request sent./May 29th - Cold email./May 30th - Called - No answer - 1st followup email send./June 21st - No answer - 2nd followup email."/>
    <x v="0"/>
    <m/>
    <x v="2"/>
    <s v="https://www.linkedin.com/in/casebbers?lipi=urn%3Ali%3Apage%3Ad_flagship3_profile_view_base%3BeKZIbFEZTUG%2F49LZ333c4Q%3D%3D"/>
    <x v="1"/>
  </r>
  <r>
    <n v="8"/>
    <d v="2018-05-29T00:00:00"/>
    <x v="0"/>
    <x v="1"/>
    <d v="2018-05-21T00:00:00"/>
    <s v="May"/>
    <x v="5"/>
    <x v="7"/>
    <x v="2"/>
    <s v="https://www.devmob.com"/>
    <s v="Mr"/>
    <s v="Gerard Bolt"/>
    <s v="Off - +49 89 20987561"/>
    <s v="Gerard.Bolt@devmob.com"/>
    <m/>
    <m/>
    <s v="welcome@devmob.com"/>
    <m/>
    <s v="May 29th - Cold email./May 30th - Unable to reach the number./June 21st - Unable to reach the number - 1st followup email."/>
    <x v="0"/>
    <m/>
    <x v="2"/>
    <s v="https://www.linkedin.com/company/devmob-bv/"/>
    <x v="0"/>
  </r>
  <r>
    <n v="9"/>
    <d v="2018-05-14T00:00:00"/>
    <x v="0"/>
    <x v="1"/>
    <d v="2018-06-19T00:00:00"/>
    <s v="Jun"/>
    <x v="2"/>
    <x v="8"/>
    <x v="3"/>
    <s v="http://snapscene.sg/"/>
    <s v="Mr"/>
    <s v="Ian Yeo"/>
    <m/>
    <s v="Ian@snapscene.sg / ian.yeo@jian.sg"/>
    <m/>
    <m/>
    <m/>
    <m/>
    <s v="May 14th - Cold email./May 29th - 1st Followup email./June 4th - Ian accpeted the linkedin request - msg send./June 6th - New intro email send to ian.yeo@jian.sg/June 19th - followup email send."/>
    <x v="2"/>
    <m/>
    <x v="2"/>
    <s v="https://www.linkedin.com/in/ian-yeo-8b989867/"/>
    <x v="0"/>
  </r>
  <r>
    <n v="10"/>
    <s v="14/5/2018"/>
    <x v="0"/>
    <x v="1"/>
    <d v="2018-06-06T00:00:00"/>
    <s v="Jun"/>
    <x v="6"/>
    <x v="9"/>
    <x v="4"/>
    <s v="http://www.tanzire.co"/>
    <s v="Mis"/>
    <s v="Suhani"/>
    <s v="Off - +852 6335 4843"/>
    <s v="suhani@tanzire.co"/>
    <m/>
    <m/>
    <s v="info@tanzire.co"/>
    <m/>
    <s v="May 14th - Cold email./May 29th - 1st Followup email./May 31st - not connecting./Jun 1st - not connecting - 2nd followup email send./June 6th - not connecting - 3rd followup email."/>
    <x v="0"/>
    <m/>
    <x v="2"/>
    <s v="https://www.linkedin.com/company/tanzire/"/>
    <x v="0"/>
  </r>
  <r>
    <n v="11"/>
    <s v="14/5/2018"/>
    <x v="0"/>
    <x v="1"/>
    <s v="15/5/2018"/>
    <s v="May"/>
    <x v="0"/>
    <x v="10"/>
    <x v="5"/>
    <s v="http://deemples.com/"/>
    <s v="Mr"/>
    <s v="David Wong"/>
    <m/>
    <s v="dw@deemples.com"/>
    <m/>
    <m/>
    <m/>
    <m/>
    <s v="May 14th - Cold email./May 15th - David responded to the linkedin msg - David responded again looking for inhouse hire - His developer accepted the offer."/>
    <x v="2"/>
    <s v="http://startupjobs.asia/job/38216-software-developer-angular-cordova-ionic-it-deemples-golf-malaysia"/>
    <x v="3"/>
    <s v="https://www.linkedin.com/company/deemples/"/>
    <x v="0"/>
  </r>
  <r>
    <n v="12"/>
    <s v="14/5/2018"/>
    <x v="0"/>
    <x v="1"/>
    <d v="2018-06-06T00:00:00"/>
    <s v="Jun"/>
    <x v="2"/>
    <x v="11"/>
    <x v="5"/>
    <s v="https://strangersoccer.com/"/>
    <s v="Mr"/>
    <s v="Jian wei Ow yong"/>
    <m/>
    <s v="jianwei@strangersoccer.com"/>
    <m/>
    <m/>
    <m/>
    <m/>
    <s v="May 14th - Cold email./May 29th - 1st Followup email./June 6th - 2nd followup email."/>
    <x v="0"/>
    <m/>
    <x v="2"/>
    <s v="https://www.linkedin.com/company/stranger-soccer/"/>
    <x v="0"/>
  </r>
  <r>
    <n v="13"/>
    <s v="15/5/2018"/>
    <x v="0"/>
    <x v="1"/>
    <d v="2018-06-06T00:00:00"/>
    <s v="Jun"/>
    <x v="2"/>
    <x v="12"/>
    <x v="6"/>
    <s v="https://coinected.io/"/>
    <s v="Mr"/>
    <s v="Daniel Dawczynski"/>
    <m/>
    <s v="Daniel.Dawczynski@coinected.io"/>
    <m/>
    <m/>
    <s v="hello@coinected.io"/>
    <m/>
    <s v="May 15th - Cold email./May 29th - 1st followup email send./June 6th - 2nd followup email."/>
    <x v="0"/>
    <s v="https://www.techinasia.com/jobs/18a49849-4852-47c8-b67a-40586f9f53c9"/>
    <x v="4"/>
    <s v="https://www.linkedin.com/company/coinected-io/"/>
    <x v="0"/>
  </r>
  <r>
    <n v="14"/>
    <s v="15/5/2018"/>
    <x v="0"/>
    <x v="1"/>
    <d v="2018-07-10T00:00:00"/>
    <s v="Jul"/>
    <x v="2"/>
    <x v="13"/>
    <x v="2"/>
    <s v="https://www.vediohead.com/"/>
    <s v="Mr"/>
    <s v="Terence Tee"/>
    <s v="M - +65 90486883 "/>
    <s v="t@vediohead.com"/>
    <m/>
    <m/>
    <s v="hello@vediohead.com"/>
    <m/>
    <s v="May 15th - Cold email - Accepted the Linkedin Invite./May 17th - Spoke with Terence - He is looking for inhouse hire - Convinced for POC - price range given $10USD - $15USD - He will discuss with his team and get back to us before Friday or Monday - Acknowledgement email send./May 21st - Terrence responded - Introduced Kenny(Engineering head) - Ready for POC - shared the req for poc./May 30th - Spoke with Kenny - got PoC extension - Kenny enquired about Devops &amp; Blockchain project./May 31st - Kenny shared the credentials./June 3rd - Send video demo to Kenny./June 4th - Kenny liked the demo - Call fixed @ 2PM to present the complete demo./June 21st - Conf call(Kenny, Madhan, Prabha) - Kenny liked the PoC - Enquired abt the services and costings - Expected resource - Mobile App(Android) &amp; Backend./July 10th - Kenny shared the 1st assignment - need to fix 4 issues./July 11th - 220hrs proposed - Kenny asked for the split up."/>
    <x v="3"/>
    <s v="https://www.techinasia.com/jobs/65907690-83b2-49e4-8ae4-2debbf66499a"/>
    <x v="4"/>
    <s v="https://www.linkedin.com/company/vediohead/"/>
    <x v="2"/>
  </r>
  <r>
    <n v="15"/>
    <s v="15/5/2018"/>
    <x v="0"/>
    <x v="1"/>
    <d v="2018-06-01T00:00:00"/>
    <s v="Jun"/>
    <x v="2"/>
    <x v="14"/>
    <x v="7"/>
    <s v="https://www.lumiere32.sg"/>
    <s v="Mr"/>
    <s v="Raman Chauhan"/>
    <s v="Off - +65 - 6678 6565"/>
    <s v="Raman@lumiere32.sg"/>
    <m/>
    <m/>
    <s v="connect@lumiere32.sg"/>
    <m/>
    <s v="May 14th - Cold email./May 31st - Spoke with Priti - Going for meeting -Call tomorrow morning./June 1st - Spk with Priti - Raman is having his lunch."/>
    <x v="0"/>
    <s v="https://e27.co/job/lumiere32-pte-ltd/web-ui-ux-designer"/>
    <x v="0"/>
    <s v="https://www.linkedin.com/company/lumiere32/"/>
    <x v="2"/>
  </r>
  <r>
    <n v="16"/>
    <s v="15/5/2018"/>
    <x v="0"/>
    <x v="1"/>
    <s v="15/5/2018"/>
    <s v="May"/>
    <x v="2"/>
    <x v="15"/>
    <x v="8"/>
    <s v="https://www.alemhealth.com/"/>
    <s v="Mr"/>
    <s v="Aschkan Abdul-Malek"/>
    <s v="off - +1 888-645-7661"/>
    <m/>
    <m/>
    <m/>
    <m/>
    <m/>
    <s v="May 15th - Linkedin invite send."/>
    <x v="0"/>
    <s v="https://e27.co/job/alemhealth/full-stack-developer"/>
    <x v="0"/>
    <s v="https://www.linkedin.com/company/alemhealthltd/"/>
    <x v="0"/>
  </r>
  <r>
    <n v="17"/>
    <s v="15/5/2018"/>
    <x v="0"/>
    <x v="1"/>
    <d v="2018-06-06T00:00:00"/>
    <s v="Jun"/>
    <x v="2"/>
    <x v="16"/>
    <x v="9"/>
    <s v="https://inventrik.com/"/>
    <s v="Mr"/>
    <s v="Neha Lad"/>
    <m/>
    <s v="Neha@inventrik.com"/>
    <m/>
    <m/>
    <m/>
    <m/>
    <s v="May 15th - Cold email./May 31st - 1st followup email./June 6th - 2nd followup email."/>
    <x v="0"/>
    <s v="https://e27.co/job/inventrik-pte-ltd/full-stack-javascript-developer"/>
    <x v="0"/>
    <s v="https://www.linkedin.com/company/inventrik-pte-ltd/?originalSubdomain=sg"/>
    <x v="0"/>
  </r>
  <r>
    <n v="18"/>
    <s v="15/5/2018"/>
    <x v="0"/>
    <x v="1"/>
    <s v="15/5/2018"/>
    <s v="May"/>
    <x v="2"/>
    <x v="17"/>
    <x v="9"/>
    <s v="http://www.combinesell.com/"/>
    <s v="Mr"/>
    <s v="Loh June Yong"/>
    <s v="M - +65 9036 3766"/>
    <s v="juneyong@combinesell.com"/>
    <m/>
    <m/>
    <m/>
    <m/>
    <s v="May 15th - Messaged via Linkedin."/>
    <x v="0"/>
    <s v="https://e27.co/job/combinesell/junior-php-laravel-backend-developer-1"/>
    <x v="0"/>
    <s v="https://www.linkedin.com/company/combinesell/"/>
    <x v="0"/>
  </r>
  <r>
    <n v="19"/>
    <s v="15/5/2018"/>
    <x v="0"/>
    <x v="1"/>
    <s v="15/5/2018"/>
    <s v="May"/>
    <x v="7"/>
    <x v="18"/>
    <x v="10"/>
    <m/>
    <m/>
    <m/>
    <m/>
    <s v="oriradix+meteor@gmail.com"/>
    <m/>
    <m/>
    <m/>
    <m/>
    <s v="May 15th - Cold email."/>
    <x v="0"/>
    <s v="https://www.weworkmeteor.com/jobs/MpX6eZokKiui5B5ir/love-typescript-angular-both-we-re-looking-for-you"/>
    <x v="5"/>
    <m/>
    <x v="0"/>
  </r>
  <r>
    <n v="20"/>
    <s v="15/5/2018"/>
    <x v="0"/>
    <x v="1"/>
    <d v="2018-06-06T00:00:00"/>
    <s v="Jun"/>
    <x v="0"/>
    <x v="19"/>
    <x v="11"/>
    <s v="https://upleap.com/"/>
    <s v="Mis"/>
    <s v="Emily Trevino"/>
    <m/>
    <s v="emily@upleap.com"/>
    <m/>
    <m/>
    <m/>
    <m/>
    <s v="May 15th - Cold email./May 31st - 1st followup email./June 6th - 2nd followup email."/>
    <x v="0"/>
    <s v="https://www.weworkmeteor.com/jobs/o9ivxDgs64PycNCYq/junior-developer"/>
    <x v="5"/>
    <s v="https://www.linkedin.com/company/upleapdotcom/"/>
    <x v="0"/>
  </r>
  <r>
    <n v="21"/>
    <s v="15/5/2018"/>
    <x v="0"/>
    <x v="1"/>
    <d v="2018-06-21T00:00:00"/>
    <s v="Jun"/>
    <x v="8"/>
    <x v="20"/>
    <x v="10"/>
    <s v="https://v4ul7.io"/>
    <s v="Mr"/>
    <s v="Marco Bahn"/>
    <s v="M - +41788567278"/>
    <s v="MARCO@one.io / marco@lab75.jp"/>
    <m/>
    <m/>
    <m/>
    <m/>
    <s v="May 15th - Cold email./May 29th - Called - No answer  - 1st followup email send./May 30th - called - no answer./May 31st - no answer - 2nd followup email./June 21st - Unable to each - 3rd followup email."/>
    <x v="2"/>
    <s v="https://www.f6s.com/jobs/35916/v4ul7.io/dapp-smart-contract-wasm-developer"/>
    <x v="6"/>
    <s v="https://www.linkedin.com/in/marcobahn/"/>
    <x v="1"/>
  </r>
  <r>
    <n v="22"/>
    <s v="16/5/2018"/>
    <x v="0"/>
    <x v="1"/>
    <d v="2018-05-30T00:00:00"/>
    <s v="May"/>
    <x v="9"/>
    <x v="21"/>
    <x v="12"/>
    <s v="https://emagin.ca"/>
    <s v="Mr"/>
    <s v="MOHAMAD VEDUT"/>
    <s v="Off - +1 (226) 476-3230"/>
    <s v="Mohamad@emagin.ca"/>
    <m/>
    <m/>
    <s v="contact@emagin.ca"/>
    <m/>
    <s v="May 16th - Cold email./May 30th - Called - No answer - 1st followup email send."/>
    <x v="0"/>
    <s v="https://www.f6s.com/jobs/35903/emagininc/full-stack-developer"/>
    <x v="6"/>
    <s v="https://www.linkedin.com/company/emagin/"/>
    <x v="1"/>
  </r>
  <r>
    <n v="23"/>
    <s v="16/5/2018"/>
    <x v="0"/>
    <x v="1"/>
    <d v="2018-06-21T00:00:00"/>
    <s v="Jun"/>
    <x v="10"/>
    <x v="22"/>
    <x v="13"/>
    <s v="https://requana.com"/>
    <s v="Mr"/>
    <s v="Emmanuel Oladosu"/>
    <s v="Off - +234 8168524235 / +234 8135528700"/>
    <s v="opeyemi@requana.com"/>
    <m/>
    <m/>
    <s v="info@requana.com"/>
    <m/>
    <s v="May 16th - Cold email - Responded via Linkedin - He is suggesting equity payment - He will share the product pitch./May 21st - Initiated the conf call with Prabhakar and Emmanue - Received the requirement - Need to suggest a solution for MVP./May 27th - submitted the proposal - Emmaulel responded - will go through the proposal./May 29th - Called - couldn't reach Emmmanuel - Followup msg send via hangouts./June 4th - No answer./June 21st - Followed via Linkedin - Emmauel responded - Looking for investors - will get back to us soon."/>
    <x v="3"/>
    <s v="https://www.f6s.com/jobs/35893/afterschoolnigeria/android-app-developer"/>
    <x v="6"/>
    <s v="https://www.linkedin.com/company/requana/"/>
    <x v="1"/>
  </r>
  <r>
    <n v="24"/>
    <s v="16/5/2018"/>
    <x v="0"/>
    <x v="1"/>
    <d v="2018-05-31T00:00:00"/>
    <s v="May"/>
    <x v="11"/>
    <x v="23"/>
    <x v="14"/>
    <s v="http://www.collabhero.com/  https://inov.io/"/>
    <s v="Mr"/>
    <s v="Shahed Kamal"/>
    <s v="M - 0415515225"/>
    <s v="Sk@collabhero.com / shahed@inov.io"/>
    <m/>
    <s v="Off - +1 404 461 9025 "/>
    <m/>
    <s v="Skype - shahedx7 "/>
    <s v="May 16th - Cold email - Enquired about the price via email./May 17th - call landed in VM - Email send./May 31st - Shahed - price is low - His expectation - 300AUD per month."/>
    <x v="1"/>
    <s v="http://startupjobs.asia/job/38294-software-engineer-python-reactjs-full-stack-developer-collabhero-anywhere"/>
    <x v="3"/>
    <s v="https://www.linkedin.com/in/shahedx/"/>
    <x v="0"/>
  </r>
  <r>
    <n v="25"/>
    <s v="16/5/2018"/>
    <x v="0"/>
    <x v="1"/>
    <d v="2018-06-06T00:00:00"/>
    <s v="Jun"/>
    <x v="0"/>
    <x v="24"/>
    <x v="9"/>
    <s v="https://www.ifcontech.com"/>
    <s v="Mr"/>
    <s v="Nik Izwan Kamel"/>
    <s v="Off -  +603-80691108"/>
    <s v="nikizwan@ifcontech.com"/>
    <m/>
    <m/>
    <s v="info@ifcontech.com"/>
    <m/>
    <s v="May 16th - Cold email./May 31st - Nic not in office - 1st Followup email send./June 6th - Not able to connect - 2nd followup email."/>
    <x v="0"/>
    <s v="http://startupjobs.asia/job/38289-frontend-web-developer-it-ifcon-technology-malaysia"/>
    <x v="3"/>
    <s v="https://www.linkedin.com/in/nik-izwan-kamel-5a391183/"/>
    <x v="0"/>
  </r>
  <r>
    <n v="26"/>
    <s v="16/5/2018"/>
    <x v="0"/>
    <x v="1"/>
    <d v="2018-06-06T00:00:00"/>
    <s v="Jun"/>
    <x v="6"/>
    <x v="25"/>
    <x v="6"/>
    <s v="https://yedpay.com"/>
    <s v="Mr"/>
    <s v="Beatrice Tai"/>
    <s v="Off - +852 36908216 / +852 5977 0850(watsapp)"/>
    <s v="info@gcash.co"/>
    <m/>
    <m/>
    <m/>
    <m/>
    <s v="May 16th - Cold email./May 31st - unable to reach the right person - 1st followup email send./June 6th - Beatrice not available - 2nd followup email send."/>
    <x v="0"/>
    <s v="http://startupjobs.asia/job/38242-react-js-developer-it-yedpay-com-hong-kong"/>
    <x v="3"/>
    <s v="https://www.linkedin.com/company/yedpay-limited/"/>
    <x v="0"/>
  </r>
  <r>
    <n v="27"/>
    <s v="16/5/2018"/>
    <x v="0"/>
    <x v="1"/>
    <d v="2018-06-06T00:00:00"/>
    <s v="Jun"/>
    <x v="2"/>
    <x v="26"/>
    <x v="15"/>
    <s v="http://www.besceneapp.com/"/>
    <s v="Mr"/>
    <s v="Jimmy Teo"/>
    <m/>
    <s v="jimmy@bescene.sg"/>
    <m/>
    <m/>
    <s v="hi@bescene.sg"/>
    <m/>
    <s v="May 16th - Cold email./June 6th - 1st followup email."/>
    <x v="0"/>
    <s v="http://startupjobs.asia/job/38113-front-end-developer-singapore-myanmar-it-bescene-singapore"/>
    <x v="3"/>
    <s v="https://www.linkedin.com/company/bescene-app/"/>
    <x v="0"/>
  </r>
  <r>
    <n v="28"/>
    <s v="16/5/2018"/>
    <x v="0"/>
    <x v="1"/>
    <d v="2018-06-04T00:00:00"/>
    <s v="Jun"/>
    <x v="0"/>
    <x v="27"/>
    <x v="14"/>
    <s v="https://www.dioworksgroup.com"/>
    <s v="Mr"/>
    <s v="DR MICHAEL CHOY"/>
    <s v="Off - +65 6635 8116"/>
    <s v="MICHAEL@dioworksgroup.com / BRYAN@dioworksgroup.com"/>
    <m/>
    <m/>
    <m/>
    <m/>
    <s v="May 16th - Cold email./May 31st - Spoke with Eroy - Both Michael &amp; Bryan are not available - Call scheduled on Monday @ 12.17PM IST./June 4th - Spoke with Bryan - Will discuss with Michael and let us know."/>
    <x v="3"/>
    <s v="http://startupjobs.asia/job/38203-python-developers-back-end-developers-dioworks-learning-sdn-bhd-malaysia"/>
    <x v="3"/>
    <s v="https://www.linkedin.com/in/michael-choy-004ab675/"/>
    <x v="2"/>
  </r>
  <r>
    <n v="29"/>
    <s v="16/5/2018"/>
    <x v="0"/>
    <x v="1"/>
    <d v="2018-06-06T00:00:00"/>
    <s v="Jun"/>
    <x v="2"/>
    <x v="28"/>
    <x v="9"/>
    <s v="http://www.actigage.com/"/>
    <s v="Mr"/>
    <s v="Gautam Prabhu"/>
    <m/>
    <s v="Gautam@actigage.com"/>
    <m/>
    <m/>
    <s v="sales@actigage.com"/>
    <m/>
    <s v="May 16th - Cold email./May 31st - 1st followup email./June 6th - 2nd followup email."/>
    <x v="0"/>
    <s v="http://startupjobs.asia/job/38155-senior-back-end-developer-back-end-developers-actigage-india"/>
    <x v="3"/>
    <s v="https://www.linkedin.com/company/actigage/"/>
    <x v="0"/>
  </r>
  <r>
    <n v="30"/>
    <s v="16/5/2018"/>
    <x v="0"/>
    <x v="1"/>
    <s v="16/5/2018"/>
    <s v="May"/>
    <x v="2"/>
    <x v="29"/>
    <x v="9"/>
    <s v="http://www.mentorica.com/"/>
    <s v="Mr"/>
    <s v="Marc Rakotomalala"/>
    <s v="Off - +65 9025 7068"/>
    <m/>
    <m/>
    <m/>
    <m/>
    <m/>
    <s v="May 16th - Messaged via Linkedin./may 17th - Accepted the Linkedin invite - He thought me as a developer - Called - In meeting./May 17th - Linkedin msg - do not want to use outside developers."/>
    <x v="1"/>
    <s v="https://www.techinasia.com/jobs/2ad167a2-cdb5-414c-a271-ee30cfc2b786"/>
    <x v="4"/>
    <s v="https://www.linkedin.com/company/mentorica-technology/?originalSubdomain=in"/>
    <x v="0"/>
  </r>
  <r>
    <n v="31"/>
    <s v="16/5/2018"/>
    <x v="0"/>
    <x v="1"/>
    <d v="2018-06-06T00:00:00"/>
    <s v="Jun"/>
    <x v="6"/>
    <x v="30"/>
    <x v="9"/>
    <s v="http://www.btinnolab.com/"/>
    <s v="Mr"/>
    <s v="Pak H. Chau"/>
    <s v="Off - +852 39746572"/>
    <s v="Pak@btinnolab.com"/>
    <m/>
    <m/>
    <m/>
    <m/>
    <s v="May 16th - Cold email./May 31st - unable to connect - 1st followup email send./June 6th - Unable to connect - 2nd followup email."/>
    <x v="0"/>
    <s v="https://www.techinasia.com/jobs/adaa5e8c-ecf5-4355-b49c-6cfa3d605523"/>
    <x v="4"/>
    <s v="https://www.linkedin.com/company/btinnolab/"/>
    <x v="0"/>
  </r>
  <r>
    <n v="32"/>
    <s v="16/5/2018"/>
    <x v="0"/>
    <x v="1"/>
    <s v="16/5/2018"/>
    <s v="May"/>
    <x v="5"/>
    <x v="31"/>
    <x v="9"/>
    <s v="https://meisterwerk-app.de"/>
    <s v="Mr"/>
    <s v="Bertram Wildenauer"/>
    <s v="Off - 030 / 45977161"/>
    <m/>
    <m/>
    <m/>
    <s v=" info@meisterwerk-app.de"/>
    <m/>
    <s v="May 16th - Cold email - Looking for people in Berlin."/>
    <x v="1"/>
    <s v="https://www.f6s.com/jobs/35841/meisterwerk/java-script-engineer"/>
    <x v="6"/>
    <s v="https://www.linkedin.com/in/bertram-wildenauer-03759293/"/>
    <x v="0"/>
  </r>
  <r>
    <n v="33"/>
    <d v="2018-05-29T00:00:00"/>
    <x v="0"/>
    <x v="1"/>
    <d v="2018-06-06T00:00:00"/>
    <s v="Jun"/>
    <x v="2"/>
    <x v="32"/>
    <x v="16"/>
    <s v="http://www.haulio.io"/>
    <s v="Mr"/>
    <s v="Alvin Ea"/>
    <s v="Off - +65 8508 2327"/>
    <s v="Alvin@haulio.io"/>
    <m/>
    <m/>
    <s v="hello@haulio.io"/>
    <m/>
    <s v="May 29th - Cold email./May 31st - Spoke with Alvin - His team is evaluating the resources - He will ask to take a look at us - Acknowledgement email send./June 6th - Spoke to Alvin - They are good with the resources."/>
    <x v="2"/>
    <s v="http://startupjobs.asia/job/38130-machine-learning-software-engineer-haulio-pte-ltd-singapore"/>
    <x v="3"/>
    <s v="https://www.linkedin.com/company/haulio/"/>
    <x v="2"/>
  </r>
  <r>
    <n v="34"/>
    <d v="2018-05-29T00:00:00"/>
    <x v="0"/>
    <x v="1"/>
    <d v="2018-06-06T00:00:00"/>
    <s v="Jun"/>
    <x v="2"/>
    <x v="33"/>
    <x v="13"/>
    <s v="http://www.fatfish.co"/>
    <s v="Ms"/>
    <s v="Chelsy Chiew"/>
    <s v="Off - +61 3 8611 5353"/>
    <s v="Chelsy.Chiew@fatfish.co"/>
    <m/>
    <m/>
    <s v="info@fatfish.co"/>
    <m/>
    <s v="May 29th - Cold email./May 31st - unable to find the right person./June 6th - No answer - 1st followup email."/>
    <x v="0"/>
    <s v="http://startupjobs.asia/job/37763-full-stack-developer-fatfish-internet-group-anywhere"/>
    <x v="3"/>
    <s v="https://www.linkedin.com/company/fatfish-group/"/>
    <x v="1"/>
  </r>
  <r>
    <n v="35"/>
    <d v="2018-05-30T00:00:00"/>
    <x v="0"/>
    <x v="1"/>
    <d v="2018-05-31T00:00:00"/>
    <s v="May"/>
    <x v="0"/>
    <x v="34"/>
    <x v="17"/>
    <s v="https://vase.ai"/>
    <s v="Mr"/>
    <s v="Asyrique Thevendran"/>
    <s v="Off - +6017-720 6788 / +6016-417 1988"/>
    <s v="Asyrique@vase.ai"/>
    <m/>
    <m/>
    <s v="expert@vase.ai"/>
    <m/>
    <s v="May 30th - Cold email./May 30th - Asyrique responded - looking for onsite resources./May 31st - Responded to Asyrique."/>
    <x v="2"/>
    <s v="http://startupjobs.asia/job/38529-fullstack-engineer-fullstack-engineer-intern-full-stack-developer-vase-ai-malaysia"/>
    <x v="3"/>
    <s v="https://www.linkedin.com/company/vase-technologies/"/>
    <x v="0"/>
  </r>
  <r>
    <n v="36"/>
    <d v="2018-05-30T00:00:00"/>
    <x v="0"/>
    <x v="1"/>
    <d v="2018-05-31T00:00:00"/>
    <s v="May"/>
    <x v="0"/>
    <x v="35"/>
    <x v="9"/>
    <s v="https://www.werebits.com"/>
    <s v="Mr"/>
    <s v="Seng Ning Ting"/>
    <s v="Off - +60 3 2276 3988 / +31 6 55977183"/>
    <s v="ning@werebits.com"/>
    <m/>
    <m/>
    <s v="enquiry@werebits.com"/>
    <m/>
    <s v="May 30th - Cold email./May 31st - Spoke with Win - Asked to call back in 30 mins @ 12PM - Spoke with Teon - not interested in outsourcing."/>
    <x v="1"/>
    <s v="http://startupjobs.asia/job/38497-web-mobile-developer-trainee-it-werebits-malaysia"/>
    <x v="3"/>
    <s v="https://www.linkedin.com/company/werebits-sdn-bhd-/"/>
    <x v="1"/>
  </r>
  <r>
    <n v="37"/>
    <d v="2018-05-30T00:00:00"/>
    <x v="0"/>
    <x v="1"/>
    <d v="2018-05-31T00:00:00"/>
    <s v="May"/>
    <x v="0"/>
    <x v="36"/>
    <x v="18"/>
    <s v="https://bereev.com"/>
    <s v="Mr"/>
    <s v="Izumi Inoue"/>
    <s v="Off - +60 18-872 1084 (Watsap)"/>
    <s v="Izumi@bereev.com"/>
    <m/>
    <m/>
    <m/>
    <m/>
    <s v="May 30th - Cold email./May 31st - Spoke with Izumi - looking for full time resource."/>
    <x v="1"/>
    <s v="http://startupjobs.asia/job/38379-full-stack-developer-it-bereev-malaysia"/>
    <x v="3"/>
    <s v="https://www.linkedin.com/company/bereev/"/>
    <x v="2"/>
  </r>
  <r>
    <n v="38"/>
    <d v="2018-05-31T00:00:00"/>
    <x v="0"/>
    <x v="1"/>
    <d v="2018-06-06T00:00:00"/>
    <s v="Jun"/>
    <x v="0"/>
    <x v="37"/>
    <x v="19"/>
    <s v="https://omnilytics.co/"/>
    <s v="Mr"/>
    <s v="Marcus Low"/>
    <m/>
    <s v="Marcus@omnilytics.co"/>
    <m/>
    <m/>
    <m/>
    <m/>
    <s v="May 31st - Cold email./June 6th - 1st followup email."/>
    <x v="0"/>
    <s v="http://startupjobs.asia/job/38558-front-end-engineer-it-omnilytics-malaysia"/>
    <x v="3"/>
    <s v="https://www.linkedin.com/company/omnilytics-analytics/"/>
    <x v="0"/>
  </r>
  <r>
    <n v="39"/>
    <d v="2018-05-31T00:00:00"/>
    <x v="0"/>
    <x v="1"/>
    <d v="2018-06-06T00:00:00"/>
    <s v="Jun"/>
    <x v="6"/>
    <x v="38"/>
    <x v="20"/>
    <s v="https://uhooair.com"/>
    <s v="Mr"/>
    <s v="Brian Lin"/>
    <m/>
    <s v="Brian@uhooair.com"/>
    <m/>
    <m/>
    <s v="hello@uhooair.com"/>
    <m/>
    <s v="May 31st - Cold email./June 6th - 1st followup email."/>
    <x v="0"/>
    <s v="http://startupjobs.asia/job/38509-backend-developer-back-end-developers-uhoo-hong-kong"/>
    <x v="3"/>
    <s v="https://www.linkedin.com/company/uhoo/"/>
    <x v="0"/>
  </r>
  <r>
    <n v="40"/>
    <d v="2018-05-31T00:00:00"/>
    <x v="0"/>
    <x v="1"/>
    <d v="2018-06-06T00:00:00"/>
    <s v="Jun"/>
    <x v="6"/>
    <x v="39"/>
    <x v="6"/>
    <s v="https://plasmabank.com/"/>
    <s v="Mr"/>
    <s v="Ilia Maksimenka"/>
    <m/>
    <s v="IM@plasmabank.com"/>
    <m/>
    <m/>
    <s v="hi@plasmabank.com"/>
    <m/>
    <s v="May 31st - Cold email./June 6th - 1st followup email."/>
    <x v="0"/>
    <s v="https://www.techinasia.com/jobs/bd50377e-317d-4195-acd2-189fec3f1de4"/>
    <x v="4"/>
    <s v="https://www.linkedin.com/company/plasmabank/"/>
    <x v="0"/>
  </r>
  <r>
    <n v="41"/>
    <d v="2018-05-31T00:00:00"/>
    <x v="0"/>
    <x v="1"/>
    <d v="2018-06-06T00:00:00"/>
    <s v="Jun"/>
    <x v="2"/>
    <x v="40"/>
    <x v="9"/>
    <s v="https://www.fidentiax.com/"/>
    <s v="Mr"/>
    <s v="Alvin Ang"/>
    <m/>
    <s v="Alvin.a@fidentiax.com"/>
    <m/>
    <m/>
    <s v="hello@fidentiax.com"/>
    <m/>
    <s v="May 31st - Cold email./June 6th - 1st followup email - Alvin responded via email - He will contact us if there are any requirements."/>
    <x v="2"/>
    <s v="https://www.techinasia.com/jobs/7dc8e920-1c24-44ca-ab7e-0b131413ce7c"/>
    <x v="4"/>
    <s v="https://www.linkedin.com/company/fidentiax/"/>
    <x v="0"/>
  </r>
  <r>
    <n v="42"/>
    <d v="2018-05-31T00:00:00"/>
    <x v="0"/>
    <x v="1"/>
    <d v="2018-06-19T00:00:00"/>
    <s v="Jun"/>
    <x v="0"/>
    <x v="41"/>
    <x v="9"/>
    <s v="https://pulseid.com"/>
    <s v="Mr"/>
    <s v="Shak Tiwari"/>
    <s v="Off - +852 9327 5293 / +61 449 945 767  "/>
    <s v="Shak@pulseid.com"/>
    <m/>
    <m/>
    <s v="contact@pulseid.com"/>
    <m/>
    <s v="May 31st - Cold email./June 1st - Unable to connect - 1st followup email./June 4th - No answer./June 6th - Unable to connect with Shak - 2nd followup email./June 19th - 4th followup email - auto msg - on leave."/>
    <x v="0"/>
    <s v="https://www.techinasia.com/jobs/7258757f-705b-416c-9115-92d4d3dd10a3"/>
    <x v="4"/>
    <s v="https://www.linkedin.com/company-beta/10972014/?pathWildcard=10972014"/>
    <x v="1"/>
  </r>
  <r>
    <n v="43"/>
    <d v="2018-05-31T00:00:00"/>
    <x v="0"/>
    <x v="1"/>
    <d v="2018-05-31T00:00:00"/>
    <s v="May"/>
    <x v="1"/>
    <x v="42"/>
    <x v="21"/>
    <s v="https://utrum.io/"/>
    <s v="Mr"/>
    <s v="Sridhar Panasa"/>
    <m/>
    <s v="Sridhar@utrum.io"/>
    <m/>
    <m/>
    <s v="contact@utrum.io"/>
    <m/>
    <s v="May 31st - Cold email./May 31st - Sridhar responded in Linkedin - Building his own team."/>
    <x v="2"/>
    <s v="https://www.techinasia.com/jobs/7d514d7a-f1fa-4db6-8548-6813975a0263"/>
    <x v="4"/>
    <s v="https://www.linkedin.com/company/utrum/"/>
    <x v="0"/>
  </r>
  <r>
    <n v="44"/>
    <d v="2018-05-31T00:00:00"/>
    <x v="0"/>
    <x v="1"/>
    <d v="2018-06-19T00:00:00"/>
    <s v="Jun"/>
    <x v="11"/>
    <x v="43"/>
    <x v="22"/>
    <s v="https://www.pointhacks.com.au/  - http://davejameswalsh.com"/>
    <s v="Mr"/>
    <s v="David Walsh"/>
    <s v="M - +61 (0) 415 587 430"/>
    <s v="davejameswalsh@hotmail.com"/>
    <m/>
    <m/>
    <m/>
    <m/>
    <s v="May 31st - Cold email./June 1st - No answer - 1st followup email./June 6th - No answer./June 19th - 1st followup email."/>
    <x v="0"/>
    <s v="https://www.techinasia.com/jobs/a8a87287-ddb9-450f-9ee8-984d5cd7dc2c"/>
    <x v="4"/>
    <s v="https://www.linkedin.com/company/point-hacks/"/>
    <x v="1"/>
  </r>
  <r>
    <n v="45"/>
    <d v="2018-05-31T00:00:00"/>
    <x v="0"/>
    <x v="1"/>
    <d v="2018-06-19T00:00:00"/>
    <s v="Jun"/>
    <x v="2"/>
    <x v="44"/>
    <x v="2"/>
    <s v="https://picoded.com/"/>
    <s v="Mr"/>
    <m/>
    <m/>
    <s v="contact@picoded.com"/>
    <m/>
    <m/>
    <m/>
    <m/>
    <s v="May 31st - Cold email./June 6th - 1st followup email./June 19th - 1st followup email."/>
    <x v="0"/>
    <s v="https://www.techinasia.com/jobs/f4149228-6b06-4628-ad1b-5a725e812382"/>
    <x v="4"/>
    <m/>
    <x v="0"/>
  </r>
  <r>
    <n v="46"/>
    <d v="2018-05-31T00:00:00"/>
    <x v="0"/>
    <x v="1"/>
    <d v="2018-06-01T00:00:00"/>
    <s v="Jun"/>
    <x v="2"/>
    <x v="45"/>
    <x v="23"/>
    <s v="https://auk.industries/"/>
    <s v="Mr"/>
    <s v="Joseph Lum"/>
    <s v="Off - +6568163656"/>
    <s v="Joseph.Lum@auk.industries"/>
    <m/>
    <m/>
    <s v="euharn.lee@auk.industries"/>
    <m/>
    <s v="May 31st - Cold email./June 1st - Spoke with Joseph - Good Call - He will contact us if there is any need - Followup 10 days later - Acknowledgement email send."/>
    <x v="3"/>
    <s v="https://www.techinasia.com/jobs/8eb3d15c-2dbc-412d-830e-08d3b75902c3"/>
    <x v="4"/>
    <s v="https://www.linkedin.com/company/auk.industries/"/>
    <x v="2"/>
  </r>
  <r>
    <n v="47"/>
    <d v="2018-05-31T00:00:00"/>
    <x v="0"/>
    <x v="1"/>
    <d v="2018-06-01T00:00:00"/>
    <s v="Jun"/>
    <x v="0"/>
    <x v="46"/>
    <x v="9"/>
    <s v="https://www.cloudaron.com/"/>
    <s v="Mr"/>
    <s v="CJ Ong"/>
    <s v="Off - +6018 605 0205 / M - 0162121073"/>
    <s v="CJ.Ong@cloudaron.com"/>
    <m/>
    <m/>
    <s v="contact@cloudaron.com"/>
    <m/>
    <s v="May 31st - Cold email./June 1st - Spoke with CJ Ong - not interested."/>
    <x v="1"/>
    <s v="https://www.techinasia.com/jobs/1bb51ddc-d618-459d-94ce-5812a38bd180"/>
    <x v="4"/>
    <s v="https://www.linkedin.com/company/cloudaron-pte-ltd/"/>
    <x v="1"/>
  </r>
  <r>
    <n v="48"/>
    <d v="2018-05-31T00:00:00"/>
    <x v="0"/>
    <x v="1"/>
    <d v="2018-06-19T00:00:00"/>
    <s v="Jun"/>
    <x v="2"/>
    <x v="47"/>
    <x v="13"/>
    <s v="https://www.groupstar.io/"/>
    <s v="Ms"/>
    <s v="Ria Lao"/>
    <m/>
    <s v="Ria@groupstar.io"/>
    <m/>
    <m/>
    <m/>
    <m/>
    <s v="May 31st - Cold email./June 6th - 1st followup email./June 19th - 1st followup email."/>
    <x v="0"/>
    <s v="https://www.techinasia.com/jobs/9a814980-ec40-444e-bcd3-4fa26084cf6f"/>
    <x v="4"/>
    <s v="https://www.linkedin.com/company/groupstar/"/>
    <x v="0"/>
  </r>
  <r>
    <n v="49"/>
    <d v="2018-05-31T00:00:00"/>
    <x v="0"/>
    <x v="1"/>
    <d v="2018-06-06T00:00:00"/>
    <s v="Jun"/>
    <x v="1"/>
    <x v="48"/>
    <x v="24"/>
    <s v="https://actively.ai/"/>
    <s v="Mr"/>
    <s v="Mark Progano"/>
    <m/>
    <s v="Mark@actively.ai"/>
    <m/>
    <m/>
    <m/>
    <m/>
    <s v="May 31st - Cold email - Not interested."/>
    <x v="1"/>
    <s v="https://www.f6s.com/jobs/36387/actively/full-stack-javascript-engineer"/>
    <x v="6"/>
    <s v="https://www.linkedin.com/company/activelyinc/"/>
    <x v="1"/>
  </r>
  <r>
    <n v="50"/>
    <d v="2018-05-31T00:00:00"/>
    <x v="0"/>
    <x v="1"/>
    <d v="2018-05-31T00:00:00"/>
    <s v="May"/>
    <x v="12"/>
    <x v="49"/>
    <x v="25"/>
    <s v="http://www.jibble.co/"/>
    <s v="Mr"/>
    <s v="Oded Levanon"/>
    <m/>
    <m/>
    <m/>
    <m/>
    <m/>
    <m/>
    <s v="May 31st - Linkedin request send."/>
    <x v="0"/>
    <s v="https://www.f6s.com/jobs/36377/jibblemusic/cto"/>
    <x v="6"/>
    <s v="https://www.linkedin.com/in/odedlevanon/"/>
    <x v="0"/>
  </r>
  <r>
    <n v="51"/>
    <d v="2018-06-04T00:00:00"/>
    <x v="0"/>
    <x v="2"/>
    <d v="2018-06-07T00:00:00"/>
    <s v="Jun"/>
    <x v="0"/>
    <x v="50"/>
    <x v="9"/>
    <s v="http://www.nexasoft.my"/>
    <s v="Mr"/>
    <s v="Hezri Amir"/>
    <s v="Off - +603 5613 3770 / +6018 777 7876"/>
    <s v="Hezri@nexasoft.my / Sufian@nexasoft.my"/>
    <m/>
    <m/>
    <m/>
    <m/>
    <s v="June 4th - Spoke with Noorul - Both Sufian and Hezri not available - Email send to Hezri./June 6th - Hezri &amp; Sufian not available -Call tomorrow @ 10AM SGT - 1st followup email./June 7th - Spoke with Noorul - She will set up an appointment - Call again on Monday @ 12PM IST."/>
    <x v="2"/>
    <s v="http://startupjobs.asia/job/38616-programmer-it-nexasoft-sdn-bhd-malaysia"/>
    <x v="3"/>
    <s v="https://www.linkedin.com/company/nexasoft-sdn-bhd/"/>
    <x v="2"/>
  </r>
  <r>
    <n v="52"/>
    <d v="2018-06-04T00:00:00"/>
    <x v="0"/>
    <x v="2"/>
    <d v="2018-06-19T00:00:00"/>
    <s v="Jun"/>
    <x v="0"/>
    <x v="51"/>
    <x v="18"/>
    <s v="https://tetrium.io/"/>
    <s v="Mr"/>
    <s v="Marcus Toy"/>
    <s v="Off - Mecreativestudio -  +60 17 468 5208"/>
    <s v="Marcus@tetrium.io / Marcus.Toy@tetrium.io"/>
    <m/>
    <m/>
    <s v="support@tetrium.io"/>
    <s v="marcustoy@mecreativestudio.com"/>
    <s v="June 4th - Cold email./June 19th - 1st followup email."/>
    <x v="0"/>
    <s v="http://startupjobs.asia/job/38614-software-engineer-intern-interested-in-blockchain-technology-full-stack-developer-tetrium-malaysia"/>
    <x v="3"/>
    <s v="https://www.linkedin.com/company/tetrium/"/>
    <x v="0"/>
  </r>
  <r>
    <n v="53"/>
    <d v="2018-06-04T00:00:00"/>
    <x v="0"/>
    <x v="2"/>
    <d v="2018-06-08T00:00:00"/>
    <s v="Jun"/>
    <x v="0"/>
    <x v="52"/>
    <x v="9"/>
    <s v="https://www.penefit.com"/>
    <s v="Mr"/>
    <s v="Jack Lok"/>
    <s v="Off - +60 18-317 8388"/>
    <m/>
    <m/>
    <m/>
    <s v="hello@penefit.com"/>
    <m/>
    <s v="June 4th - Called - No answer./June 6th - No answer - 1st followup email send./June 7th - No answer./June 8th - Jack responded - expressed interest in outsourcing - enquired about the price."/>
    <x v="2"/>
    <s v="http://startupjobs.asia/job/38604-full-stack-developer-it-penefit-sdn-bhd-malaysia"/>
    <x v="3"/>
    <s v="https://www.linkedin.com/in/jack-lok-ba7b254/"/>
    <x v="1"/>
  </r>
  <r>
    <n v="54"/>
    <d v="2018-06-04T00:00:00"/>
    <x v="0"/>
    <x v="2"/>
    <d v="2018-06-08T00:00:00"/>
    <s v="Jun"/>
    <x v="0"/>
    <x v="53"/>
    <x v="9"/>
    <s v="http://blocklime.com/"/>
    <s v="Mr"/>
    <s v="Harpreet Singh Maan"/>
    <s v="M - +60169983708"/>
    <s v="Harpreet@blocklime.com"/>
    <m/>
    <m/>
    <m/>
    <m/>
    <s v="June 4th - Spoke with Harpreet - Interested in inhouse hiring - Convinced for urgent &amp; tight dead line task - He will speak with CTO and come back to us./June 8th - Harpreet - he has passed it to his CTO - CTO has to respond."/>
    <x v="3"/>
    <s v="http://startupjobs.asia/job/38639-front-end-developer-front-end-developers-blocklime-malaysia"/>
    <x v="3"/>
    <s v="https://www.linkedin.com/company/blocklime/"/>
    <x v="2"/>
  </r>
  <r>
    <n v="55"/>
    <d v="2018-06-04T00:00:00"/>
    <x v="0"/>
    <x v="2"/>
    <d v="2018-06-07T00:00:00"/>
    <s v="Jun"/>
    <x v="2"/>
    <x v="54"/>
    <x v="18"/>
    <s v="https://www.codigeeks.com/"/>
    <s v="Mr"/>
    <s v="Kim Lan"/>
    <s v="Off - +(65) 6100 6401 "/>
    <m/>
    <m/>
    <m/>
    <s v="enquiry@codigeeks.com"/>
    <m/>
    <s v="June 4th - No answer - Cold email./June 6th - No answer -1st Followup email./June 7th - No answer."/>
    <x v="0"/>
    <s v="https://www.techinasia.com/jobs/67add6f2-758c-43e0-ae89-3fb95f0f9aab"/>
    <x v="4"/>
    <s v="https://www.linkedin.com/company/codigeeks/"/>
    <x v="1"/>
  </r>
  <r>
    <n v="56"/>
    <d v="2018-06-04T00:00:00"/>
    <x v="0"/>
    <x v="2"/>
    <d v="2018-06-19T00:00:00"/>
    <s v="Jun"/>
    <x v="4"/>
    <x v="55"/>
    <x v="18"/>
    <s v="https://www.moonassist.com"/>
    <s v="Mr"/>
    <s v="Lars de Veer"/>
    <m/>
    <s v="lars@moonassist.com"/>
    <m/>
    <m/>
    <m/>
    <m/>
    <s v="June 4th - Cold email./June 19th - 1st followup email."/>
    <x v="0"/>
    <s v="https://www.techinasia.com/jobs/d481fd12-ad50-47fb-96e9-cc9e35757b73"/>
    <x v="4"/>
    <s v="https://www.linkedin.com/company/moonassist/"/>
    <x v="0"/>
  </r>
  <r>
    <n v="57"/>
    <d v="2018-06-04T00:00:00"/>
    <x v="0"/>
    <x v="2"/>
    <d v="2018-06-19T00:00:00"/>
    <s v="Jun"/>
    <x v="13"/>
    <x v="56"/>
    <x v="6"/>
    <s v="https://www.equity-x.com/"/>
    <s v="Mr"/>
    <s v="Akio Kurata"/>
    <m/>
    <s v="akio.Kurata@equity-x.com"/>
    <m/>
    <m/>
    <m/>
    <m/>
    <s v="June 4th - Cold email./June 19th - 1st followup email."/>
    <x v="0"/>
    <s v="https://www.f6s.com/jobs/36453/equityx1/senior-architect"/>
    <x v="6"/>
    <s v="https://www.linkedin.com/in/akio-kurata-540a8053/"/>
    <x v="0"/>
  </r>
  <r>
    <n v="58"/>
    <d v="2018-06-05T00:00:00"/>
    <x v="0"/>
    <x v="2"/>
    <d v="2018-06-19T00:00:00"/>
    <s v="Jun"/>
    <x v="2"/>
    <x v="57"/>
    <x v="2"/>
    <s v="http://www.cybersprout.com/"/>
    <m/>
    <m/>
    <m/>
    <m/>
    <m/>
    <m/>
    <s v="career@cybersprout.com"/>
    <m/>
    <s v="June 5th - Cold email./June 19th - 1st followup email."/>
    <x v="0"/>
    <s v="https://www.techinasia.com/jobs/cb32ecf2-a585-47ae-b4cf-eb31d0262abd"/>
    <x v="4"/>
    <m/>
    <x v="0"/>
  </r>
  <r>
    <n v="59"/>
    <d v="2018-06-05T00:00:00"/>
    <x v="0"/>
    <x v="2"/>
    <d v="2018-06-05T00:00:00"/>
    <s v="Jun"/>
    <x v="2"/>
    <x v="58"/>
    <x v="26"/>
    <s v="https://spotworks.com.sg"/>
    <s v="Mr"/>
    <s v="Christopher Wang"/>
    <s v="M - +65 63488607 / Off - +65 63365771"/>
    <s v="chris@immevr.com / Chris@spotworks.com.sg "/>
    <m/>
    <m/>
    <s v="admin@spotworks.com.sg"/>
    <m/>
    <s v="June 5th - Spoke with Chris - He said they are looking for inhouse hire - But convinced him - Asked for the profiles."/>
    <x v="3"/>
    <s v="https://www.techinasia.com/jobs/e622953e-7042-42e9-91a4-b96c725b9e86"/>
    <x v="4"/>
    <s v="https://www.linkedin.com/company/spot-works/"/>
    <x v="2"/>
  </r>
  <r>
    <n v="60"/>
    <d v="2018-06-05T00:00:00"/>
    <x v="0"/>
    <x v="2"/>
    <d v="2018-06-08T00:00:00"/>
    <s v="Jun"/>
    <x v="14"/>
    <x v="59"/>
    <x v="27"/>
    <s v="https://presnsr.com/"/>
    <s v="Mr"/>
    <s v="Javier Hernandez"/>
    <m/>
    <s v="Javier@presnsr.com"/>
    <m/>
    <m/>
    <m/>
    <m/>
    <s v="June 5th - Cold email - Javier responded - Asked why should he use our team? - Responded back to Javier - Asked about the conditions for PoC./June 8th - Followup email."/>
    <x v="3"/>
    <s v="https://www.f6s.com/jobs/36467/presnsr/full-stack-developer"/>
    <x v="6"/>
    <s v="https://www.linkedin.com/company/presnsr/"/>
    <x v="0"/>
  </r>
  <r>
    <n v="61"/>
    <d v="2018-06-05T00:00:00"/>
    <x v="0"/>
    <x v="2"/>
    <d v="2018-06-19T00:00:00"/>
    <s v="Jun"/>
    <x v="15"/>
    <x v="60"/>
    <x v="10"/>
    <m/>
    <s v="Mr"/>
    <s v="Mohamed Warda"/>
    <m/>
    <s v="Mohamed.warda@CoatConnect.com"/>
    <m/>
    <m/>
    <m/>
    <m/>
    <s v="June 5th - Cold email./June 19th - 1st followup email."/>
    <x v="0"/>
    <s v="https://www.f6s.com/jobs/36446/coatconnect/technical-co-founder"/>
    <x v="6"/>
    <s v="https://www.linkedin.com/in/dr-mohamed-warda/"/>
    <x v="0"/>
  </r>
  <r>
    <n v="62"/>
    <d v="2018-06-05T00:00:00"/>
    <x v="0"/>
    <x v="2"/>
    <d v="2018-06-22T00:00:00"/>
    <s v="Jun"/>
    <x v="13"/>
    <x v="61"/>
    <x v="18"/>
    <s v="https://www.archangel.im"/>
    <s v="Ms"/>
    <s v="Daniel Sola"/>
    <s v="Off -  (+44) 01865 600 415"/>
    <s v="D.sola@archangel.im"/>
    <s v="Trang Tran"/>
    <s v="t.Tran@archangel.im"/>
    <s v="info@archangel.im"/>
    <m/>
    <s v="June 5th - Spoke with SuZu - Tran not available - Send email./June 21st - Tran not around - Call tomorrow evening @ 6PM IST - 1st followup email./June 22nd - Spoke with Trang - They are hiring inhouse resources."/>
    <x v="2"/>
    <s v="https://www.f6s.com/jobs/36424/archangelimagingltd/lead-full-stack-web-developer-ai-iot"/>
    <x v="6"/>
    <s v="https://www.linkedin.com/company/archangelimaging/"/>
    <x v="2"/>
  </r>
  <r>
    <n v="63"/>
    <d v="2018-06-05T00:00:00"/>
    <x v="0"/>
    <x v="2"/>
    <d v="2018-06-21T00:00:00"/>
    <s v="Jun"/>
    <x v="13"/>
    <x v="62"/>
    <x v="13"/>
    <s v="https://www.traveltimeplatform.com/"/>
    <s v="Mr"/>
    <s v="Antanas Dapkus"/>
    <s v="Off - +44 (0) 207 096 1473"/>
    <m/>
    <m/>
    <s v="charlie@igeolize.com"/>
    <m/>
    <m/>
    <s v="June 5th - Tried to reach Antanas - Not available - Email send./June 21st - Antanas not available."/>
    <x v="0"/>
    <s v="https://www.f6s.com/jobs/36478/igeoliseltd1/remote-web-developer"/>
    <x v="6"/>
    <s v="https://www.linkedin.com/company/igeolise-ltd/"/>
    <x v="0"/>
  </r>
  <r>
    <n v="64"/>
    <d v="2018-06-05T00:00:00"/>
    <x v="0"/>
    <x v="2"/>
    <d v="2018-06-19T00:00:00"/>
    <s v="Jun"/>
    <x v="1"/>
    <x v="63"/>
    <x v="0"/>
    <s v="https://cladnetwork.com"/>
    <s v="Mr"/>
    <s v="Andrew Reker"/>
    <s v="Off - +(607) 216-6127"/>
    <s v="andrewr@cladnetwork.com"/>
    <m/>
    <m/>
    <m/>
    <m/>
    <s v="June 5th - Cold email./June 19th - 1st followup email."/>
    <x v="0"/>
    <s v="https://www.f6s.com/jobs/36423/cladnetwork/software-developer"/>
    <x v="6"/>
    <s v="https://www.linkedin.com/company/cladnetwork/"/>
    <x v="0"/>
  </r>
  <r>
    <n v="65"/>
    <d v="2018-06-05T00:00:00"/>
    <x v="0"/>
    <x v="2"/>
    <d v="2018-06-19T00:00:00"/>
    <s v="Jun"/>
    <x v="16"/>
    <x v="64"/>
    <x v="28"/>
    <s v="http://www.parkware.eu"/>
    <s v="Mr"/>
    <s v="Ricardo Vitorino"/>
    <s v="Off - +351 234 484 466 /(+351) 239 151 993_x000a_"/>
    <s v="RVitorino@ubiwhere.com"/>
    <m/>
    <m/>
    <m/>
    <m/>
    <s v="June 5th - Cold email./June 6th - Unable to connect./June 19th - Spoke with gatekeeper - asked to drop an email - Ricardo responded - hiring only in Portugal."/>
    <x v="2"/>
    <s v="https://www.f6s.com/jobs/36373/parkwarebyubiwhere/backend-developer/"/>
    <x v="6"/>
    <s v="https://www.linkedin.com/company/parkware/"/>
    <x v="2"/>
  </r>
  <r>
    <n v="66"/>
    <d v="2018-06-05T00:00:00"/>
    <x v="0"/>
    <x v="2"/>
    <d v="2018-06-19T00:00:00"/>
    <s v="Jun"/>
    <x v="17"/>
    <x v="65"/>
    <x v="29"/>
    <s v="http://b-hive.com/"/>
    <s v="Mr"/>
    <s v="Fawaz Al-Fraiji"/>
    <m/>
    <s v="fawaz@b-hive.com"/>
    <m/>
    <m/>
    <m/>
    <m/>
    <s v="June 5th - Cold email./June 19th - 1st followup email."/>
    <x v="0"/>
    <s v="https://www.f6s.com/jobs/36369/bhive.com/android-developer"/>
    <x v="6"/>
    <s v="https://www.linkedin.com/in/fawazfraiji/"/>
    <x v="0"/>
  </r>
  <r>
    <n v="67"/>
    <d v="2018-06-05T00:00:00"/>
    <x v="0"/>
    <x v="2"/>
    <d v="2018-06-19T00:00:00"/>
    <s v="Jun"/>
    <x v="9"/>
    <x v="66"/>
    <x v="13"/>
    <s v="https://goparkr.com/"/>
    <s v="Mr"/>
    <s v="Frank Jing"/>
    <m/>
    <s v="Frank@goparkr.com"/>
    <m/>
    <m/>
    <s v="contact@goparkr.com"/>
    <m/>
    <s v="June 5th - Cold email./June 19th - 1st followup email - Frank responded - not interested, remove from sales list."/>
    <x v="1"/>
    <s v="https://www.f6s.com/jobs/36356/goparkr/software-engineer-frontend-remote-ok"/>
    <x v="6"/>
    <s v="https://www.linkedin.com/company/goparkr/"/>
    <x v="1"/>
  </r>
  <r>
    <n v="68"/>
    <d v="2018-06-06T00:00:00"/>
    <x v="0"/>
    <x v="2"/>
    <d v="2018-06-06T00:00:00"/>
    <s v="Jun"/>
    <x v="13"/>
    <x v="67"/>
    <x v="30"/>
    <s v="https://kopernio.com/"/>
    <s v="Mr"/>
    <s v="Jan Reichelt"/>
    <m/>
    <s v="Jan@kopernio.com / Jan.Reichelt@kopernio.com"/>
    <m/>
    <m/>
    <m/>
    <m/>
    <s v="June 6th - Cold email."/>
    <x v="0"/>
    <s v="https://www.f6s.com/jobs/36492/kopernio/senior-front-end-developer"/>
    <x v="6"/>
    <s v="https://www.linkedin.com/company/kopernio/"/>
    <x v="0"/>
  </r>
  <r>
    <n v="69"/>
    <d v="2018-06-06T00:00:00"/>
    <x v="0"/>
    <x v="2"/>
    <d v="2018-06-21T00:00:00"/>
    <s v="Jun"/>
    <x v="5"/>
    <x v="68"/>
    <x v="9"/>
    <s v="https://www.skedda.com"/>
    <s v="Mr"/>
    <s v="Jonathan Fagg"/>
    <s v="Off - +49 0427102449"/>
    <s v="Jon@skedda.com"/>
    <m/>
    <m/>
    <s v="info@skedda.com"/>
    <m/>
    <s v="June 6th - Cold email - Called - Unable to reach./June 19th - Unable to reach - Followup email send./June 21st - Unable to reach - 2nd followup email."/>
    <x v="0"/>
    <s v="https://www.f6s.com/jobs/36488/skeddabookings/full-stack-web-developer-net-ember"/>
    <x v="6"/>
    <s v="https://www.linkedin.com/company/skedda/"/>
    <x v="0"/>
  </r>
  <r>
    <n v="70"/>
    <d v="2018-06-06T00:00:00"/>
    <x v="0"/>
    <x v="2"/>
    <d v="2018-06-19T00:00:00"/>
    <s v="Jun"/>
    <x v="13"/>
    <x v="69"/>
    <x v="13"/>
    <s v="https://ppcprotect.com/"/>
    <s v="Mr"/>
    <s v="Segev Hochberg"/>
    <s v="Off - +44 01204235288"/>
    <s v="Segev@ppcprotect.com"/>
    <m/>
    <m/>
    <s v="contact@ppcprotect.com"/>
    <m/>
    <s v="June 6th - Sevev not available - Intro email./June 19th - No answer - 1st followup email send - Segev responded - not interested in outsourcing."/>
    <x v="1"/>
    <s v="https://www.f6s.com/jobs/36380/ppcprotect/full-stack-developer"/>
    <x v="6"/>
    <s v="https://www.linkedin.com/company/ppc-protect-limited/"/>
    <x v="1"/>
  </r>
  <r>
    <n v="71"/>
    <d v="2018-06-06T00:00:00"/>
    <x v="0"/>
    <x v="2"/>
    <d v="2018-06-06T00:00:00"/>
    <s v="Jun"/>
    <x v="18"/>
    <x v="70"/>
    <x v="9"/>
    <s v="https://novalu.me"/>
    <s v="Mr"/>
    <s v="Thomas Mikkelsen"/>
    <s v="Off - +45 46162517"/>
    <s v="tm@novalu.me "/>
    <s v="NB@novalu.me"/>
    <s v="Off - +45 35 37 88 88"/>
    <s v="info@novalu.me"/>
    <m/>
    <s v="June 6th - Spoke with Thomas - They are looking for inhouse resourse for this particular project - They will outsource in future."/>
    <x v="2"/>
    <s v="https://www.f6s.com/jobs/36305/novalume/iot-software-application-engineer"/>
    <x v="6"/>
    <s v="https://www.linkedin.com/company/novalume/"/>
    <x v="2"/>
  </r>
  <r>
    <n v="72"/>
    <d v="2018-06-06T00:00:00"/>
    <x v="0"/>
    <x v="2"/>
    <d v="2018-06-19T00:00:00"/>
    <s v="Jun"/>
    <x v="2"/>
    <x v="71"/>
    <x v="31"/>
    <s v="https://www.see-mode.com/"/>
    <s v="Ms"/>
    <s v="Sadaf Monajemi"/>
    <m/>
    <s v="Sadaf@see-mode.com"/>
    <m/>
    <m/>
    <m/>
    <m/>
    <s v="June 6th - Cold email./June 19th - 1st followup email."/>
    <x v="0"/>
    <s v="https://www.f6s.com/jobs/36303/see-modetechnologies/computer-vision-engineer"/>
    <x v="6"/>
    <s v="https://www.linkedin.com/company/see-mode-technologies/"/>
    <x v="0"/>
  </r>
  <r>
    <n v="73"/>
    <d v="2018-06-06T00:00:00"/>
    <x v="0"/>
    <x v="2"/>
    <d v="2018-06-21T00:00:00"/>
    <s v="Jun"/>
    <x v="13"/>
    <x v="72"/>
    <x v="32"/>
    <s v="https://thedealerapp.co.uk/"/>
    <s v="Mr"/>
    <s v="Edward Alun-Jones"/>
    <s v="Off - +44 7775 505152(call charged heavily)"/>
    <s v="Ed@thedealerapp.co.uk"/>
    <m/>
    <m/>
    <m/>
    <m/>
    <s v="June 6th - Cold email./June 7th - Edward not available - call cost is high./June 19th - Spoke with Jerome(Ed's father) - Followup email send./June 21st - Ed's father asked not to call again in this number - Asked to get him via email."/>
    <x v="0"/>
    <s v="https://www.f6s.com/jobs/36316/thedealerapp/full-stack-developer/"/>
    <x v="6"/>
    <s v="https://www.linkedin.com/company/the-dealer-app-limited/"/>
    <x v="2"/>
  </r>
  <r>
    <n v="74"/>
    <d v="2018-06-06T00:00:00"/>
    <x v="0"/>
    <x v="2"/>
    <d v="2018-06-06T00:00:00"/>
    <s v="Jun"/>
    <x v="8"/>
    <x v="73"/>
    <x v="18"/>
    <s v="https://www.crypto-potential.com"/>
    <s v="Mr"/>
    <s v="Dario Sagud"/>
    <s v="Off - +41 79 89 837 70"/>
    <m/>
    <m/>
    <m/>
    <s v="qcryptoweb@gmail.com"/>
    <s v="Skype - dsagud"/>
    <s v="June 6th - Cold email - Responded - this is an unpaid position."/>
    <x v="1"/>
    <s v="https://www.f6s.com/jobs/36300/cryptopotential/angular-2-developer"/>
    <x v="6"/>
    <s v="https://www.linkedin.com/company/crypto-potential/"/>
    <x v="0"/>
  </r>
  <r>
    <n v="75"/>
    <d v="2018-06-06T00:00:00"/>
    <x v="0"/>
    <x v="2"/>
    <d v="2018-06-19T00:00:00"/>
    <s v="Jun"/>
    <x v="19"/>
    <x v="74"/>
    <x v="9"/>
    <s v="https://www.jingle.market/"/>
    <s v="Mr"/>
    <s v="Luke Binder"/>
    <s v="Off - +43 650 9405071(call charged heavily)"/>
    <s v="Luke@jingle.market"/>
    <m/>
    <m/>
    <s v="hello@jingle.market"/>
    <m/>
    <s v="June 6th - Cold email./June 7th - Unable to connect - Call cost is high./June 19th - unable to connect - Call cost is high."/>
    <x v="0"/>
    <s v="https://www.f6s.com/jobs/36244/jingle/lead-web-developer-full-time/"/>
    <x v="6"/>
    <s v="https://www.linkedin.com/company/jingle.market/"/>
    <x v="0"/>
  </r>
  <r>
    <n v="76"/>
    <d v="2018-06-06T00:00:00"/>
    <x v="0"/>
    <x v="2"/>
    <d v="2018-06-19T00:00:00"/>
    <s v="Jun"/>
    <x v="2"/>
    <x v="75"/>
    <x v="18"/>
    <s v="http://qritive.com/"/>
    <s v="Mr"/>
    <s v="Kaveh Taghipour"/>
    <m/>
    <s v="Kaveh@qritive.com"/>
    <m/>
    <m/>
    <m/>
    <m/>
    <s v="June 6th - Cold email./June 19th - 1st followup email."/>
    <x v="0"/>
    <s v="https://www.f6s.com/jobs/36239/qritive/computer-vision-intern"/>
    <x v="6"/>
    <s v="https://www.linkedin.com/company/qritive/"/>
    <x v="0"/>
  </r>
  <r>
    <n v="77"/>
    <d v="2018-06-06T00:00:00"/>
    <x v="0"/>
    <x v="2"/>
    <d v="2018-06-19T00:00:00"/>
    <s v="Jun"/>
    <x v="20"/>
    <x v="76"/>
    <x v="24"/>
    <s v="https://tripmedic.com/"/>
    <s v="Mr"/>
    <s v="Emanuele Cavasassi"/>
    <s v="Off - +34 938 00 48 04 / +39 0733 663618"/>
    <s v="Emanuele.Cavasassi@tripmedic.com / Emanuele@tripmedic.com"/>
    <m/>
    <m/>
    <s v="contact@tripmedic.com"/>
    <m/>
    <s v="June 6th - Cold email./June 7th - Unable to reach the person./June 19th - Unable to reach - 1st followup email send."/>
    <x v="0"/>
    <s v="https://www.f6s.com/jobs/36232/tripmedic/web-developer-wordpress"/>
    <x v="6"/>
    <s v="https://www.linkedin.com/company/tripmedic/"/>
    <x v="0"/>
  </r>
  <r>
    <n v="78"/>
    <d v="2018-06-14T00:00:00"/>
    <x v="0"/>
    <x v="2"/>
    <d v="2018-06-19T00:00:00"/>
    <s v="Jun"/>
    <x v="2"/>
    <x v="77"/>
    <x v="18"/>
    <s v="https://chainstack.com/"/>
    <s v="Mr"/>
    <s v="Eugene Aseev"/>
    <m/>
    <s v="EA@chainstack.com"/>
    <m/>
    <m/>
    <m/>
    <m/>
    <s v="June 14th - Cold email./June 19th - 1st followup email."/>
    <x v="0"/>
    <s v="https://www.techinasia.com/jobs/a77848a0-3d09-4939-a5e2-6c86b4cef44e"/>
    <x v="4"/>
    <s v="https://www.linkedin.com/company/chainstack/"/>
    <x v="0"/>
  </r>
  <r>
    <n v="79"/>
    <d v="2018-06-14T00:00:00"/>
    <x v="0"/>
    <x v="2"/>
    <d v="2018-06-19T00:00:00"/>
    <s v="Jun"/>
    <x v="2"/>
    <x v="78"/>
    <x v="33"/>
    <s v="https://www.ludic.games/"/>
    <s v="Mr"/>
    <s v="Sam Yang"/>
    <m/>
    <s v="Sam.Yang@ludic.games"/>
    <m/>
    <m/>
    <m/>
    <m/>
    <s v="June 14th - Cold email./June 19th - 1st followup email."/>
    <x v="0"/>
    <s v="https://www.techinasia.com/jobs/52bcfdf3-88e9-401e-ba18-7fc59933146f"/>
    <x v="4"/>
    <s v="https://www.linkedin.com/company/ludic-games/"/>
    <x v="0"/>
  </r>
  <r>
    <n v="80"/>
    <d v="2018-06-14T00:00:00"/>
    <x v="0"/>
    <x v="2"/>
    <d v="2018-06-19T00:00:00"/>
    <s v="Jun"/>
    <x v="2"/>
    <x v="79"/>
    <x v="18"/>
    <s v="https://www.sensorflow.co/"/>
    <s v="Mr"/>
    <s v="Max Pagel"/>
    <s v="Off -+65 8110 2308"/>
    <s v="Max@sensorflow.co"/>
    <m/>
    <m/>
    <m/>
    <m/>
    <s v="June 14th - Cold email./June 19th - Unable to connect - 1st followup email send."/>
    <x v="0"/>
    <s v="https://www.techinasia.com/jobs/39667730-3e02-4277-a2e5-90fd2bfcb9b9"/>
    <x v="4"/>
    <s v="https://www.linkedin.com/company/sensorflow/"/>
    <x v="0"/>
  </r>
  <r>
    <n v="81"/>
    <d v="2018-06-14T00:00:00"/>
    <x v="0"/>
    <x v="2"/>
    <d v="2018-06-19T00:00:00"/>
    <s v="Jun"/>
    <x v="2"/>
    <x v="80"/>
    <x v="9"/>
    <s v="http://lomotif.com/"/>
    <s v="Mr"/>
    <s v="Paul Yang"/>
    <m/>
    <s v="Paul@lomotif.com"/>
    <m/>
    <m/>
    <m/>
    <m/>
    <s v="June 14th - Cold email./June 19th - 1st followup email."/>
    <x v="0"/>
    <s v="https://www.techinasia.com/jobs/61b772fc-4293-4763-8f58-77922036d2dd"/>
    <x v="4"/>
    <s v="https://www.linkedin.com/company/lomotif/"/>
    <x v="0"/>
  </r>
  <r>
    <n v="82"/>
    <d v="2018-06-14T00:00:00"/>
    <x v="0"/>
    <x v="2"/>
    <d v="2018-06-14T00:00:00"/>
    <s v="Jun"/>
    <x v="2"/>
    <x v="81"/>
    <x v="13"/>
    <s v="https://awallet.io/"/>
    <s v="Mr"/>
    <s v="Wei Wu Zhang"/>
    <m/>
    <s v="Weiwu.Zhang@awallet.io"/>
    <m/>
    <m/>
    <m/>
    <m/>
    <s v="June 14th - Cold email - Wei responded - only looking for local partnership."/>
    <x v="1"/>
    <s v="https://www.techinasia.com/jobs/88330894-1903-4098-ae58-1875bde00ddc"/>
    <x v="4"/>
    <s v="https://www.linkedin.com/company/%CE%B1wallet/"/>
    <x v="0"/>
  </r>
  <r>
    <n v="83"/>
    <d v="2018-06-14T00:00:00"/>
    <x v="0"/>
    <x v="2"/>
    <d v="2018-06-19T00:00:00"/>
    <s v="Jun"/>
    <x v="2"/>
    <x v="82"/>
    <x v="9"/>
    <s v="http://www.gowild.sg"/>
    <s v="Mr"/>
    <s v="Keng Hoe Toh"/>
    <s v="Off - +65 66351515"/>
    <m/>
    <m/>
    <m/>
    <s v="help@gowild.sg"/>
    <m/>
    <s v="June 14th - Cold email./June 19th - No answer - 1st followup email send."/>
    <x v="0"/>
    <s v="https://www.techinasia.com/jobs/7a5545d5-7a38-4db8-9564-9ac94ae3e660"/>
    <x v="4"/>
    <s v="https://www.linkedin.com/company/gowild-singapore-pte-ltd/?originalSubdomain=in"/>
    <x v="1"/>
  </r>
  <r>
    <n v="84"/>
    <d v="2018-06-14T00:00:00"/>
    <x v="0"/>
    <x v="2"/>
    <d v="2018-06-19T00:00:00"/>
    <s v="Jun"/>
    <x v="21"/>
    <x v="83"/>
    <x v="18"/>
    <s v="https://harvestr.io"/>
    <s v="Mr"/>
    <s v="Valentin Huang"/>
    <m/>
    <s v="Valentin@harvestr.io"/>
    <m/>
    <m/>
    <m/>
    <m/>
    <s v="June 14th - Cold email./June 19th - 1st followup email - Valentin responded - looking for inhouse hire."/>
    <x v="2"/>
    <s v="https://www.f6s.com/jobs/36709/harvestr/lead-developer"/>
    <x v="6"/>
    <s v="https://www.linkedin.com/company/harvestr/"/>
    <x v="0"/>
  </r>
  <r>
    <n v="85"/>
    <d v="2018-06-14T00:00:00"/>
    <x v="0"/>
    <x v="2"/>
    <d v="2018-06-14T00:00:00"/>
    <s v="Jun"/>
    <x v="12"/>
    <x v="84"/>
    <x v="9"/>
    <m/>
    <s v="Mr"/>
    <s v="Heba Jaraysi"/>
    <m/>
    <m/>
    <m/>
    <m/>
    <m/>
    <m/>
    <s v="June 14th - Linkedin request sent."/>
    <x v="0"/>
    <s v="https://www.f6s.com/jobs/36675/antenna-detect.protect.evaluate/cto"/>
    <x v="6"/>
    <s v="https://www.linkedin.com/in/heba-jaraysi-26aa3024/"/>
    <x v="0"/>
  </r>
  <r>
    <n v="86"/>
    <d v="2018-06-14T00:00:00"/>
    <x v="0"/>
    <x v="2"/>
    <d v="2018-06-19T00:00:00"/>
    <s v="Jun"/>
    <x v="9"/>
    <x v="85"/>
    <x v="18"/>
    <s v="http://feedeosapp.com"/>
    <s v="Mr"/>
    <s v="Ramy Yared"/>
    <m/>
    <s v="Ramy.Yared@feedeosapp.com / Ramy@feedeosapp.com"/>
    <m/>
    <m/>
    <s v="hello@feedeosapp.com"/>
    <m/>
    <s v="June 14th - Cold email./June 19th - 1st followup email."/>
    <x v="0"/>
    <s v="https://www.f6s.com/jobs/36674/feedeos/ios-ui-designer"/>
    <x v="6"/>
    <s v="https://www.linkedin.com/company/feedeos/"/>
    <x v="0"/>
  </r>
  <r>
    <n v="87"/>
    <d v="2018-06-14T00:00:00"/>
    <x v="0"/>
    <x v="2"/>
    <d v="2018-06-19T00:00:00"/>
    <s v="Jun"/>
    <x v="13"/>
    <x v="86"/>
    <x v="18"/>
    <s v="http://www.weareoncare.com"/>
    <s v="Mr"/>
    <s v="James Broad"/>
    <m/>
    <s v="James@weareoncare.com"/>
    <m/>
    <m/>
    <m/>
    <m/>
    <s v="June 14th - Cold email./June 19th - 1st followup email."/>
    <x v="0"/>
    <s v="https://www.f6s.com/jobs/36663/oncaretechnologies/full-stack-software-engineer"/>
    <x v="6"/>
    <s v="https://www.linkedin.com/company/oncaretech/"/>
    <x v="0"/>
  </r>
  <r>
    <n v="88"/>
    <d v="2018-06-14T00:00:00"/>
    <x v="0"/>
    <x v="2"/>
    <d v="2018-06-14T00:00:00"/>
    <s v="Jun"/>
    <x v="16"/>
    <x v="87"/>
    <x v="10"/>
    <m/>
    <s v="Mr"/>
    <s v="Jacob Magalhaes"/>
    <m/>
    <m/>
    <m/>
    <m/>
    <m/>
    <m/>
    <s v="June 14th - Linkedin request sent."/>
    <x v="0"/>
    <s v="https://www.f6s.com/jobs/36662/creatorus/web-designer"/>
    <x v="6"/>
    <s v="https://www.linkedin.com/in/jacob-magalhaes-7534bb60/"/>
    <x v="0"/>
  </r>
  <r>
    <n v="89"/>
    <d v="2018-06-14T00:00:00"/>
    <x v="0"/>
    <x v="2"/>
    <d v="2018-06-14T00:00:00"/>
    <s v="Jun"/>
    <x v="22"/>
    <x v="88"/>
    <x v="9"/>
    <s v="https://templaterobot.co/"/>
    <s v="Mr"/>
    <s v="Alexey Chernyshev"/>
    <m/>
    <m/>
    <m/>
    <m/>
    <m/>
    <m/>
    <s v="June 14th - Linkedin request sent."/>
    <x v="0"/>
    <s v="https://www.f6s.com/jobs/36646/templaterobot/full-stack-developer"/>
    <x v="6"/>
    <s v="https://www.linkedin.com/in/alexey-chernyshev/"/>
    <x v="0"/>
  </r>
  <r>
    <n v="90"/>
    <d v="2018-06-14T00:00:00"/>
    <x v="0"/>
    <x v="2"/>
    <d v="2018-06-19T00:00:00"/>
    <s v="Jun"/>
    <x v="23"/>
    <x v="89"/>
    <x v="18"/>
    <s v="https://www.the-roommate.com/"/>
    <s v="Mr"/>
    <s v="Matteo Bucci"/>
    <m/>
    <s v="Matteo.Bucci@the-roommate.com"/>
    <m/>
    <m/>
    <m/>
    <m/>
    <s v="June 15th - Cold email./June 19th - 1st followup email."/>
    <x v="0"/>
    <s v="https://www.f6s.com/roommatesrls/about"/>
    <x v="6"/>
    <s v="https://www.linkedin.com/company/roommateapp/"/>
    <x v="0"/>
  </r>
  <r>
    <n v="91"/>
    <d v="2018-06-15T00:00:00"/>
    <x v="0"/>
    <x v="2"/>
    <d v="2018-06-22T00:00:00"/>
    <s v="Jun"/>
    <x v="24"/>
    <x v="90"/>
    <x v="13"/>
    <s v="http://itstalk.me/"/>
    <s v="Mr"/>
    <s v="Lucas Ribeiro"/>
    <m/>
    <s v="Lucas.Ribeiro@itstalk.me / Lucas@itstalk.me"/>
    <m/>
    <m/>
    <s v="mendes.ribeiros@gmail.com"/>
    <m/>
    <s v="June 15th - Cold email./June 19th - 1st followup email./June 22nd - Lucas responded in Linkedin - Asked to build a system similar to https://www.brella.io/ - asked the price."/>
    <x v="3"/>
    <s v="https://www.f6s.com/jobs/36726/itstalk/developer-remote"/>
    <x v="6"/>
    <s v="https://www.linkedin.com/company/itstalk/"/>
    <x v="0"/>
  </r>
  <r>
    <n v="92"/>
    <d v="2018-06-15T00:00:00"/>
    <x v="0"/>
    <x v="2"/>
    <d v="2018-06-18T00:00:00"/>
    <s v="Jun"/>
    <x v="25"/>
    <x v="91"/>
    <x v="34"/>
    <s v="https://hireflows.com/"/>
    <s v="Ms"/>
    <s v="Olga Konstantakopoulou"/>
    <m/>
    <s v="Olga@hireflows.com"/>
    <m/>
    <m/>
    <s v="info@hireflows.com"/>
    <m/>
    <s v="June 15th - Cold email./June 18th - Olga  responded - position is filled."/>
    <x v="2"/>
    <s v="https://www.f6s.com/jobs/36520/hireflowshr/web-full-stack-developer"/>
    <x v="6"/>
    <s v="https://www.linkedin.com/company/hireflowshr/"/>
    <x v="0"/>
  </r>
  <r>
    <n v="93"/>
    <d v="2018-06-15T00:00:00"/>
    <x v="0"/>
    <x v="2"/>
    <d v="2018-06-19T00:00:00"/>
    <s v="Jun"/>
    <x v="5"/>
    <x v="92"/>
    <x v="9"/>
    <s v="https://keyp.io"/>
    <s v="Mr"/>
    <s v="Maximilian C. Moehring"/>
    <m/>
    <s v="max@keyp.io / leo@keyp.io"/>
    <m/>
    <m/>
    <m/>
    <m/>
    <s v="June 15th - Cold email./June 19th - 1st followup email."/>
    <x v="0"/>
    <s v="https://www.f6s.com/jobs/36530/keypgmbh/back-end-developer"/>
    <x v="6"/>
    <s v="https://www.linkedin.com/company/keyp-gmbh/"/>
    <x v="0"/>
  </r>
  <r>
    <n v="94"/>
    <d v="2018-06-15T00:00:00"/>
    <x v="0"/>
    <x v="2"/>
    <d v="2018-06-19T00:00:00"/>
    <s v="Jun"/>
    <x v="13"/>
    <x v="67"/>
    <x v="30"/>
    <s v="https://kopernio.com/"/>
    <s v="Mr"/>
    <s v="Jan Reichelt"/>
    <m/>
    <s v="Jan@kopernio.com / ben@kopernio.com"/>
    <m/>
    <m/>
    <m/>
    <m/>
    <s v="June 15th - Cold email./June 19th - 1st followup email."/>
    <x v="0"/>
    <s v="https://www.f6s.com/jobs/36492/kopernio/senior-front-end-developer"/>
    <x v="6"/>
    <s v="https://www.linkedin.com/company/kopernio/"/>
    <x v="0"/>
  </r>
  <r>
    <n v="95"/>
    <d v="2018-06-15T00:00:00"/>
    <x v="0"/>
    <x v="2"/>
    <d v="2018-06-15T00:00:00"/>
    <s v="Jun"/>
    <x v="13"/>
    <x v="93"/>
    <x v="9"/>
    <s v="https://fledglink.com"/>
    <s v="Ms"/>
    <s v="Eleanor Yell"/>
    <m/>
    <s v="Eleanor.Yell@fledglink.com / Eleanor@fledglink.com"/>
    <m/>
    <m/>
    <m/>
    <m/>
    <s v="June 15th - Cold email."/>
    <x v="0"/>
    <s v="https://angel.co/fledglink"/>
    <x v="7"/>
    <s v="https://www.linkedin.com/company/fledglink/"/>
    <x v="0"/>
  </r>
  <r>
    <n v="96"/>
    <d v="2018-06-15T00:00:00"/>
    <x v="0"/>
    <x v="2"/>
    <d v="2018-06-15T00:00:00"/>
    <s v="Jun"/>
    <x v="6"/>
    <x v="94"/>
    <x v="13"/>
    <s v="https://token.discourze.com"/>
    <s v="Mr"/>
    <s v="Wes Francis"/>
    <m/>
    <s v="Wes.Francis@discourze.com"/>
    <m/>
    <m/>
    <s v="westonfrancis@163.com"/>
    <m/>
    <s v="June 15th - Cold email - Wes responded - Will keep in mind - He is starting a Blockchain startup soon, looking for development team."/>
    <x v="3"/>
    <s v="https://angel.co/discourze"/>
    <x v="7"/>
    <s v="https://www.linkedin.com/company/discourze/"/>
    <x v="0"/>
  </r>
  <r>
    <n v="97"/>
    <d v="2018-06-15T00:00:00"/>
    <x v="0"/>
    <x v="2"/>
    <d v="2018-06-15T00:00:00"/>
    <s v="Jun"/>
    <x v="20"/>
    <x v="95"/>
    <x v="5"/>
    <s v="http://www.futways.com"/>
    <s v="Mr"/>
    <s v="Luis Valdes"/>
    <s v="Off - +1 347-698-3106"/>
    <s v="Luis.Valdes@futways.com / Luis@futways.com"/>
    <m/>
    <m/>
    <s v="info@futways.com"/>
    <m/>
    <s v="June 15th - Cold email."/>
    <x v="0"/>
    <s v="https://angel.co/futways"/>
    <x v="7"/>
    <s v="https://www.linkedin.com/company/futways/"/>
    <x v="0"/>
  </r>
  <r>
    <n v="98"/>
    <d v="2018-06-15T00:00:00"/>
    <x v="0"/>
    <x v="2"/>
    <d v="2018-06-19T00:00:00"/>
    <s v="Jun"/>
    <x v="6"/>
    <x v="96"/>
    <x v="5"/>
    <m/>
    <s v="Mr"/>
    <s v="Jonathan Tsoi"/>
    <m/>
    <s v="igolfhub@gmail.com"/>
    <m/>
    <m/>
    <m/>
    <m/>
    <s v="June 15th - Cold email./June 19th - 1st followup email."/>
    <x v="0"/>
    <s v="https://angel.co/golf-hub"/>
    <x v="7"/>
    <m/>
    <x v="0"/>
  </r>
  <r>
    <n v="99"/>
    <d v="2018-06-15T00:00:00"/>
    <x v="0"/>
    <x v="2"/>
    <d v="2018-06-15T00:00:00"/>
    <s v="Jun"/>
    <x v="22"/>
    <x v="97"/>
    <x v="10"/>
    <m/>
    <s v="Mr"/>
    <s v="Amil Moskalenko"/>
    <m/>
    <m/>
    <m/>
    <m/>
    <m/>
    <m/>
    <s v="June 15th - Linkedin request sent."/>
    <x v="0"/>
    <s v="https://angel.co/oak-eco-technologies"/>
    <x v="7"/>
    <s v="https://www.linkedin.com/in/amil-moskalenko-b38297164/"/>
    <x v="0"/>
  </r>
  <r>
    <n v="100"/>
    <d v="2018-06-15T00:00:00"/>
    <x v="0"/>
    <x v="2"/>
    <d v="2018-06-19T00:00:00"/>
    <s v="Jun"/>
    <x v="21"/>
    <x v="98"/>
    <x v="35"/>
    <s v="http://influencerz.io/"/>
    <s v="Mr"/>
    <s v="Nicolas Vrc"/>
    <m/>
    <s v="nicolas@influencerz.io"/>
    <m/>
    <m/>
    <m/>
    <m/>
    <s v="June 15th - Cold email./June 19th - 1st followup email."/>
    <x v="0"/>
    <s v="https://angel.co/influencerz-io/jobs/379016-react-web-developer"/>
    <x v="7"/>
    <m/>
    <x v="0"/>
  </r>
  <r>
    <n v="101"/>
    <d v="2018-06-15T00:00:00"/>
    <x v="0"/>
    <x v="2"/>
    <d v="2018-06-19T00:00:00"/>
    <s v="Jun"/>
    <x v="5"/>
    <x v="99"/>
    <x v="18"/>
    <s v="http://nevaal.com/"/>
    <s v="Mr"/>
    <s v="Corvin Porten"/>
    <m/>
    <s v="Corvin.Porten@nevaal.com"/>
    <m/>
    <m/>
    <s v="info@nevaal.com"/>
    <m/>
    <s v="June 15th - Cold email./June 19th - 1st followup email."/>
    <x v="0"/>
    <s v="https://angel.co/nevaal"/>
    <x v="7"/>
    <s v="https://www.linkedin.com/company/nevaal/"/>
    <x v="0"/>
  </r>
  <r>
    <n v="102"/>
    <d v="2018-06-15T00:00:00"/>
    <x v="0"/>
    <x v="2"/>
    <d v="2018-06-19T00:00:00"/>
    <s v="Jun"/>
    <x v="13"/>
    <x v="100"/>
    <x v="9"/>
    <s v="http://www.dextcloud.com/"/>
    <s v="Mr"/>
    <s v="Manish Sharma"/>
    <m/>
    <s v="Manish@dextcloud.com"/>
    <m/>
    <m/>
    <s v="info@dextcloud.com"/>
    <m/>
    <s v="June 15th - Cold email./June 19th - 1st followup email."/>
    <x v="0"/>
    <s v="https://angel.co/dextcloud"/>
    <x v="7"/>
    <s v="https://www.linkedin.com/in/manishdmsdigital/detail/contact-info/"/>
    <x v="0"/>
  </r>
  <r>
    <n v="103"/>
    <d v="2018-06-18T00:00:00"/>
    <x v="0"/>
    <x v="2"/>
    <d v="2018-07-11T00:00:00"/>
    <s v="Jul"/>
    <x v="2"/>
    <x v="101"/>
    <x v="36"/>
    <s v="http://www.inproved.com/"/>
    <s v="Mr"/>
    <s v="Huan Johnson Koh"/>
    <m/>
    <s v="johnsonkoh@inproved.com"/>
    <m/>
    <m/>
    <m/>
    <m/>
    <s v="June 18th - Cold email - Responded via Linkedin - Asked for company profile and Blockchain expertise./June 19th - Blockchain portfolio shared - Asked to brief the Accnting system -  Asked for technology &amp; platform./July 11th - Followed up with Johnson - Johnson asked help with White Papers."/>
    <x v="3"/>
    <s v="http://startupjobs.asia/job/38845-rest-api-and-web-developer-it-inproved-singapore"/>
    <x v="3"/>
    <s v="https://www.linkedin.com/in/johnsonhuanfongkoh/"/>
    <x v="0"/>
  </r>
  <r>
    <n v="104"/>
    <d v="2018-06-18T00:00:00"/>
    <x v="0"/>
    <x v="2"/>
    <d v="2018-06-18T00:00:00"/>
    <s v="Jun"/>
    <x v="6"/>
    <x v="102"/>
    <x v="9"/>
    <s v="https://passkit.com"/>
    <s v="Mr"/>
    <s v="Nick Murray"/>
    <m/>
    <s v="nickmurray@passkit.com / nick@passkit.com"/>
    <m/>
    <m/>
    <s v="support@passkit.com"/>
    <m/>
    <s v="June 18th - Cold email."/>
    <x v="0"/>
    <s v="http://startupjobs.asia/job/38626-frontend-developer-junior-applications-welcome-front-end-developers-passkit-hong-kong"/>
    <x v="3"/>
    <s v="https://www.linkedin.com/company/passkit/"/>
    <x v="0"/>
  </r>
  <r>
    <n v="105"/>
    <d v="2018-06-18T00:00:00"/>
    <x v="0"/>
    <x v="2"/>
    <d v="2018-06-21T00:00:00"/>
    <s v="Jun"/>
    <x v="0"/>
    <x v="103"/>
    <x v="18"/>
    <s v="http://snsoft.my/"/>
    <s v="Mr"/>
    <s v="Jessye Kong"/>
    <s v="Off - 017-6347732(Jessy) / +6014 930 9971(Chargd)"/>
    <s v="jessyekong@snsoft.my"/>
    <m/>
    <m/>
    <s v="alfredtee@snsoft.my"/>
    <m/>
    <s v="June 18th - Unable to connect - Cold email./June 19th - No unable to reach./June 21st - unable to reach - 1st followup email - Auto reply - Alfred left the company - new intro email send to Jessy."/>
    <x v="0"/>
    <s v="http://startupjobs.asia/job/38782-php-developer-it-snsoft-sdn-bhd-malaysia"/>
    <x v="3"/>
    <s v="https://www.linkedin.com/in/alfred-tee-294232104/?locale=de_DE"/>
    <x v="0"/>
  </r>
  <r>
    <n v="106"/>
    <d v="2018-06-18T00:00:00"/>
    <x v="0"/>
    <x v="2"/>
    <d v="2018-06-18T00:00:00"/>
    <s v="Jun"/>
    <x v="2"/>
    <x v="104"/>
    <x v="9"/>
    <s v="https://platomedical.com/"/>
    <s v="Mr"/>
    <s v="Remi Kanji"/>
    <s v="Off - +65 3163 1193"/>
    <s v="Remi.Kanji@platomedical.com / Remi@platomedical.com"/>
    <m/>
    <m/>
    <m/>
    <m/>
    <s v="June 18th - Contact no reaches  support team - Cold email."/>
    <x v="0"/>
    <s v="http://startupjobs.asia/job/38753-fullstack-developer-it-plato-medical-singapore"/>
    <x v="3"/>
    <s v="https://www.linkedin.com/company/plato-medical/"/>
    <x v="0"/>
  </r>
  <r>
    <n v="107"/>
    <d v="2018-06-18T00:00:00"/>
    <x v="0"/>
    <x v="2"/>
    <d v="2018-06-18T00:00:00"/>
    <s v="Jun"/>
    <x v="2"/>
    <x v="105"/>
    <x v="7"/>
    <s v="https://www.contactsdaily.com"/>
    <s v="Mr"/>
    <s v="Adrian Neo"/>
    <m/>
    <s v="Adrian@contactsdaily.com"/>
    <m/>
    <m/>
    <s v="help@contactsdaily.com"/>
    <m/>
    <s v="June 18th - Cold email."/>
    <x v="0"/>
    <s v="http://startupjobs.asia/job/38729-full-stack-angular-react-nodejs-developers-wanted-for-temp-freelance-work-x2-full-stack-developer-contactsdaily-singapore"/>
    <x v="3"/>
    <s v="https://www.linkedin.com/in/adrian-neo-649b1683/"/>
    <x v="0"/>
  </r>
  <r>
    <n v="108"/>
    <d v="2018-06-18T00:00:00"/>
    <x v="0"/>
    <x v="2"/>
    <d v="2018-06-22T00:00:00"/>
    <s v="Jun"/>
    <x v="2"/>
    <x v="106"/>
    <x v="6"/>
    <s v="https://www.fomopay.com/"/>
    <s v="Mr"/>
    <s v="Zhan Yang"/>
    <s v="Off - +65 67158451"/>
    <s v="zhan.yang@fomopay.com"/>
    <m/>
    <m/>
    <s v="sales@fomopay.com"/>
    <m/>
    <s v="June 18th - No answer - Cold email./June 19th - Zhan accepted the linkedin request./June 21st - unable to connect 1st followup email./June 22nd - Unable to connect."/>
    <x v="0"/>
    <s v="https://www.techinasia.com/jobs/1d0be535-8c36-40b9-a4a1-aafc5b924488"/>
    <x v="4"/>
    <s v="https://www.linkedin.com/company/fomo-pay-pte.-ltd./"/>
    <x v="1"/>
  </r>
  <r>
    <n v="109"/>
    <d v="2018-06-18T00:00:00"/>
    <x v="0"/>
    <x v="2"/>
    <d v="2018-06-21T00:00:00"/>
    <s v="Jun"/>
    <x v="2"/>
    <x v="107"/>
    <x v="10"/>
    <s v="http://www.ie-pl.com"/>
    <m/>
    <s v="Winson"/>
    <s v="Off -  +65 6744 6873"/>
    <s v="patrick@targa.com / winson@ie-pl.com"/>
    <m/>
    <m/>
    <s v="IndustrialElectronics1986@gmail.com"/>
    <m/>
    <s v="June 18th - Called - Manger went out - call again in 20 mins @ 1.45PM - Spoke with Winson - Asked to write email - Intro email sent./June 21st - Winson - fwded the mail to Patrick - hong kong team - they will contact via email - response will be bit slow - positive response from Winson."/>
    <x v="3"/>
    <s v="https://www.techinasia.com/jobs/7d14459c-ebae-417b-ae57-ba655d11b58f"/>
    <x v="4"/>
    <m/>
    <x v="2"/>
  </r>
  <r>
    <n v="110"/>
    <d v="2018-06-18T00:00:00"/>
    <x v="0"/>
    <x v="2"/>
    <d v="2018-06-18T00:00:00"/>
    <s v="Jun"/>
    <x v="2"/>
    <x v="108"/>
    <x v="18"/>
    <s v="http://www.maple.ai"/>
    <s v="Mr"/>
    <s v="S W J Park"/>
    <m/>
    <m/>
    <m/>
    <m/>
    <s v="enquiries@maple.ai"/>
    <m/>
    <s v="June 18th - Cold email."/>
    <x v="0"/>
    <s v="https://www.techinasia.com/jobs/ee3bad50-fbd1-4650-8ae8-a4629cbdcd20"/>
    <x v="4"/>
    <s v="https://www.linkedin.com/company/maple.ai/"/>
    <x v="0"/>
  </r>
  <r>
    <n v="111"/>
    <d v="2018-06-18T00:00:00"/>
    <x v="0"/>
    <x v="2"/>
    <d v="2018-06-18T00:00:00"/>
    <s v="Jun"/>
    <x v="2"/>
    <x v="109"/>
    <x v="6"/>
    <s v="https://seedly.sg"/>
    <s v="Mr"/>
    <s v="Tee-Ming Chew"/>
    <m/>
    <s v="Tee.Chew@seedly.sg"/>
    <m/>
    <m/>
    <s v="mingfeng@seedly.sg / support@seedly.sg"/>
    <m/>
    <s v="June 18th - Cold email."/>
    <x v="0"/>
    <s v="https://www.techinasia.com/jobs/eb8e5816-2b1c-4472-a2be-70c843e321aa"/>
    <x v="4"/>
    <s v="https://www.linkedin.com/company/seedly/"/>
    <x v="0"/>
  </r>
  <r>
    <n v="112"/>
    <d v="2018-06-18T00:00:00"/>
    <x v="0"/>
    <x v="2"/>
    <d v="2018-06-18T00:00:00"/>
    <s v="Jun"/>
    <x v="21"/>
    <x v="110"/>
    <x v="6"/>
    <s v="https://www.alphien.com/"/>
    <s v="Mr"/>
    <s v="Maxime Fages"/>
    <m/>
    <s v="Maxime@alphien.com"/>
    <m/>
    <m/>
    <m/>
    <m/>
    <s v="June 18th - Cold email."/>
    <x v="0"/>
    <s v="https://www.techinasia.com/jobs/52cf73a2-810b-4772-a024-716247bd483b"/>
    <x v="4"/>
    <s v="https://www.linkedin.com/company/alphien-pte-ltd/"/>
    <x v="0"/>
  </r>
  <r>
    <n v="113"/>
    <d v="2018-06-18T00:00:00"/>
    <x v="0"/>
    <x v="2"/>
    <d v="2018-06-21T00:00:00"/>
    <s v="Jun"/>
    <x v="2"/>
    <x v="111"/>
    <x v="6"/>
    <s v="https://www.fourelementscapital.com"/>
    <s v="Mr"/>
    <s v="Lionel Semonin"/>
    <s v="Off - +65 6557 0578"/>
    <s v="Lionel.Semonin@fourelementscapital.com"/>
    <m/>
    <m/>
    <s v="info@4ecap.com"/>
    <m/>
    <s v="June 18th - Cold email./June 19th - no proper response./June 21st - 1st followup email."/>
    <x v="0"/>
    <s v="https://www.techinasia.com/jobs/16268b5c-2358-4be3-804e-c7ea120f2b15"/>
    <x v="4"/>
    <s v="https://www.linkedin.com/company/four-elements-capital-pte-ltd/?originalSubdomain=ph"/>
    <x v="0"/>
  </r>
  <r>
    <n v="114"/>
    <d v="2018-06-18T00:00:00"/>
    <x v="0"/>
    <x v="2"/>
    <d v="2018-06-21T00:00:00"/>
    <s v="Jun"/>
    <x v="0"/>
    <x v="112"/>
    <x v="9"/>
    <s v="https://zynesis.com/"/>
    <s v="Mr"/>
    <s v="U-Zyn Chua"/>
    <s v="Off - +65 9831 8407"/>
    <s v="UZyn@zynesis.com"/>
    <m/>
    <m/>
    <s v="collab@zynesis.com"/>
    <m/>
    <s v="June 18th - Cold email./June 19th - currently unavailable./June 21st - currently unavailable."/>
    <x v="0"/>
    <s v="https://www.techinasia.com/jobs/2f8ec2b5-fd7d-4b9e-b84b-481d1206ee7f"/>
    <x v="4"/>
    <s v="https://www.linkedin.com/company/zynesis-consulting/"/>
    <x v="0"/>
  </r>
  <r>
    <n v="115"/>
    <d v="2018-06-18T00:00:00"/>
    <x v="0"/>
    <x v="2"/>
    <d v="2018-06-18T00:00:00"/>
    <s v="Jun"/>
    <x v="2"/>
    <x v="113"/>
    <x v="34"/>
    <s v="https://wantthingsdone.com/"/>
    <s v="Mr"/>
    <s v="Christina Teo"/>
    <m/>
    <s v="chris@wantthingsdone.com"/>
    <m/>
    <m/>
    <s v="hello@wantthingsdone.com"/>
    <m/>
    <s v="June 18th - Cold email."/>
    <x v="0"/>
    <s v="https://www.techinasia.com/jobs/63dbfc14-47af-47f4-bccc-6d439fd6b0ab"/>
    <x v="4"/>
    <s v="https://www.linkedin.com/company/want-things-done/"/>
    <x v="0"/>
  </r>
  <r>
    <n v="116"/>
    <d v="2018-06-18T00:00:00"/>
    <x v="0"/>
    <x v="2"/>
    <d v="2018-06-21T00:00:00"/>
    <s v="Jun"/>
    <x v="2"/>
    <x v="114"/>
    <x v="13"/>
    <s v="https://www.sendforensics.com"/>
    <s v="Mr"/>
    <s v="Alan John"/>
    <s v="Off - +65 6509 0845"/>
    <s v="Alan.John@sendforensics.com"/>
    <m/>
    <m/>
    <m/>
    <m/>
    <s v="June 18th - Cold email./june 19th - Spoke with Anida - Alan not in office - followup email./June 21st - Alan not interested."/>
    <x v="1"/>
    <s v="https://www.techinasia.com/jobs/d4c1bd49-152a-4c20-ba6d-77f676feb565/"/>
    <x v="4"/>
    <s v="https://www.linkedin.com/company/sendforensics/"/>
    <x v="1"/>
  </r>
  <r>
    <n v="117"/>
    <d v="2018-06-18T00:00:00"/>
    <x v="0"/>
    <x v="2"/>
    <d v="2018-06-18T00:00:00"/>
    <s v="Jun"/>
    <x v="26"/>
    <x v="115"/>
    <x v="10"/>
    <m/>
    <s v="Mr"/>
    <s v="Alexander Ulander"/>
    <m/>
    <m/>
    <m/>
    <m/>
    <m/>
    <m/>
    <s v="June 18th - Linkedin request sent - accepted the skype invite - asked question."/>
    <x v="2"/>
    <s v="https://www.f6s.com/jobs/36770/booksterab/co-founder-and-back-end-developer-wanted"/>
    <x v="6"/>
    <s v="https://www.linkedin.com/in/alexanderulander/"/>
    <x v="0"/>
  </r>
  <r>
    <n v="118"/>
    <d v="2018-06-18T00:00:00"/>
    <x v="0"/>
    <x v="2"/>
    <d v="2018-06-22T00:00:00"/>
    <s v="Jun"/>
    <x v="20"/>
    <x v="116"/>
    <x v="9"/>
    <s v="https://www.letmeparkparking.es/"/>
    <s v="Mr"/>
    <s v="Uliana Torkunova"/>
    <s v="Off - +34 610 60 02 30(no doesn't exist) / +34600369336(call chargd heavily)"/>
    <m/>
    <m/>
    <m/>
    <s v="info@letmeparkparking.es"/>
    <m/>
    <s v="June 18th - Cold email./June 21st - Unable to reach - 1st followup email./June 22nd - Received Watsapp call from  +34600369336(call chargd heavily) - Tried to reach in Watsapp - call disconnected."/>
    <x v="1"/>
    <s v="https://www.f6s.com/jobs/36764/letmepark.es/backend-app-developer"/>
    <x v="6"/>
    <s v="https://www.linkedin.com/company/letmepark/"/>
    <x v="0"/>
  </r>
  <r>
    <n v="119"/>
    <d v="2018-06-18T00:00:00"/>
    <x v="0"/>
    <x v="2"/>
    <d v="2018-06-18T00:00:00"/>
    <s v="Jun"/>
    <x v="2"/>
    <x v="117"/>
    <x v="13"/>
    <s v="http://www.castella.art/"/>
    <s v="Mr"/>
    <s v="Evelyn H. Xy"/>
    <m/>
    <m/>
    <m/>
    <m/>
    <m/>
    <m/>
    <s v="June 18th - Linkedin request sent."/>
    <x v="0"/>
    <s v="https://angel.co/castella"/>
    <x v="7"/>
    <s v="https://www.linkedin.com/company/castella-art/"/>
    <x v="0"/>
  </r>
  <r>
    <n v="120"/>
    <d v="2018-06-18T00:00:00"/>
    <x v="0"/>
    <x v="2"/>
    <d v="2018-06-21T00:00:00"/>
    <s v="Jun"/>
    <x v="5"/>
    <x v="118"/>
    <x v="37"/>
    <s v="https://www.vypno.com/"/>
    <s v="Mr"/>
    <s v="Maximilian Jakasovic"/>
    <s v="Off - +49 175 1141726 (call chargd heavily)"/>
    <s v="Maximilian.Jakasovic@vypno.com"/>
    <m/>
    <m/>
    <s v="contact@vypno.com "/>
    <m/>
    <s v="June 18th - Cold email./June 19th - No answer./June 21st - No answer - 1st followup email."/>
    <x v="0"/>
    <s v="https://angel.co/vypno/"/>
    <x v="7"/>
    <s v="https://www.linkedin.com/company/vypno/"/>
    <x v="1"/>
  </r>
  <r>
    <n v="121"/>
    <d v="2018-06-18T00:00:00"/>
    <x v="0"/>
    <x v="2"/>
    <d v="2018-06-18T00:00:00"/>
    <s v="Jun"/>
    <x v="13"/>
    <x v="119"/>
    <x v="13"/>
    <s v="https://digit.agency/"/>
    <s v="Mr"/>
    <s v="Pradeep Singh"/>
    <m/>
    <m/>
    <m/>
    <m/>
    <m/>
    <m/>
    <s v="June 18th - Linkedin request sent."/>
    <x v="0"/>
    <s v="https://angel.co/digitagency"/>
    <x v="7"/>
    <s v="https://www.linkedin.com/in/pradeepdotco/"/>
    <x v="0"/>
  </r>
  <r>
    <n v="122"/>
    <d v="2018-06-18T00:00:00"/>
    <x v="0"/>
    <x v="2"/>
    <d v="2018-06-19T00:00:00"/>
    <s v="Jun"/>
    <x v="20"/>
    <x v="120"/>
    <x v="38"/>
    <s v="https://vesto.me"/>
    <s v="Mr"/>
    <s v="Andre Cacador"/>
    <s v="Off - +34658037821(call charged heavily)"/>
    <s v="Andre.Cacador@vesto.me / Andre@vesto.me"/>
    <m/>
    <m/>
    <s v="hello@vesto.me"/>
    <m/>
    <s v="June 18th - Cold email./June 19th - No answer."/>
    <x v="0"/>
    <s v="https://angel.co/vesto"/>
    <x v="7"/>
    <s v="https://www.linkedin.com/company/vestoapp/"/>
    <x v="1"/>
  </r>
  <r>
    <n v="123"/>
    <d v="2018-06-19T00:00:00"/>
    <x v="0"/>
    <x v="2"/>
    <d v="2018-06-21T00:00:00"/>
    <s v="Jun"/>
    <x v="0"/>
    <x v="121"/>
    <x v="0"/>
    <s v="http://www.teebtv.com"/>
    <s v="Mr"/>
    <s v="Fauzi azam yahaya Ishak"/>
    <s v="Off - + 603 2095 6530"/>
    <m/>
    <m/>
    <m/>
    <s v="main@teebtv.com"/>
    <m/>
    <s v="June 19th - Cold email./June 21st - Fauzi is in meeting - Call later."/>
    <x v="0"/>
    <s v="https://www.techinasia.com/jobs/1d7df80d-7c1b-4407-8120-0c83fc014baa"/>
    <x v="4"/>
    <s v="https://www.linkedin.com/company/teebtv/"/>
    <x v="0"/>
  </r>
  <r>
    <n v="124"/>
    <d v="2018-06-19T00:00:00"/>
    <x v="0"/>
    <x v="2"/>
    <d v="2018-06-21T00:00:00"/>
    <s v="Jun"/>
    <x v="2"/>
    <x v="122"/>
    <x v="10"/>
    <s v="http://www.thehourglass.com/"/>
    <m/>
    <m/>
    <s v="Off - +65 6787 2288"/>
    <m/>
    <m/>
    <m/>
    <s v="facebook@thehourglass.com"/>
    <m/>
    <s v="June 19th - Cold email./June 21st - Unable to reach the right guy."/>
    <x v="1"/>
    <s v="https://www.techinasia.com/jobs/df5484c9-6c8c-47aa-916c-6beb8bcbba4d"/>
    <x v="4"/>
    <m/>
    <x v="0"/>
  </r>
  <r>
    <n v="125"/>
    <d v="2018-06-19T00:00:00"/>
    <x v="0"/>
    <x v="2"/>
    <d v="2018-06-22T00:00:00"/>
    <s v="Jun"/>
    <x v="2"/>
    <x v="123"/>
    <x v="39"/>
    <s v="http://www.mightcast.com"/>
    <s v="Mr"/>
    <s v="Amie Hu"/>
    <s v="Off - +65 69881280 / +6590106069(M)"/>
    <s v="AmieHu@mightcast.com"/>
    <m/>
    <m/>
    <s v="hello@mightcast.com"/>
    <s v="amiehu@seafrontmedia.com"/>
    <s v="June 19th - Cold email./June 21st - Spoke with Winnie - Informed the purpose - 1st followup email./June 22nd - Amie responded - need sg developers -tried to reach her Mobile &amp; off no - no answer - replied the email - tried again Mob &amp; Off - No answer."/>
    <x v="3"/>
    <s v="https://www.techinasia.com/jobs/8022cef0-de93-4b45-ae9f-14c31bffc5dd"/>
    <x v="4"/>
    <s v="https://www.linkedin.com/company/mightcast/"/>
    <x v="1"/>
  </r>
  <r>
    <n v="126"/>
    <d v="2018-06-19T00:00:00"/>
    <x v="0"/>
    <x v="2"/>
    <d v="2018-06-19T00:00:00"/>
    <s v="Jun"/>
    <x v="27"/>
    <x v="124"/>
    <x v="40"/>
    <s v="http://www.tribo.io/"/>
    <s v="Mr"/>
    <s v="Maria Andrea Gonzalez"/>
    <m/>
    <s v="andrea@tribo.io"/>
    <m/>
    <m/>
    <m/>
    <m/>
    <s v="June 19th - Cold email."/>
    <x v="0"/>
    <s v="https://www.f6s.com/jobs/36782/tribo/ios-front-end-developer"/>
    <x v="6"/>
    <s v="https://www.linkedin.com/company/triborecommends/"/>
    <x v="0"/>
  </r>
  <r>
    <n v="127"/>
    <d v="2018-06-19T00:00:00"/>
    <x v="0"/>
    <x v="2"/>
    <d v="2018-06-19T00:00:00"/>
    <s v="Jun"/>
    <x v="13"/>
    <x v="125"/>
    <x v="10"/>
    <s v="http://www.pre-launch-website.com/"/>
    <s v="Mr"/>
    <s v="Craig Smith"/>
    <m/>
    <m/>
    <m/>
    <m/>
    <m/>
    <m/>
    <s v="June 19th - Cold email."/>
    <x v="0"/>
    <s v="https://angel.co/parade-3/jobs/380911-senior-developer"/>
    <x v="7"/>
    <s v="https://www.linkedin.com/in/craig-smith-31aa7922/"/>
    <x v="0"/>
  </r>
  <r>
    <n v="128"/>
    <d v="2018-06-19T00:00:00"/>
    <x v="0"/>
    <x v="2"/>
    <d v="2018-06-19T00:00:00"/>
    <s v="Jun"/>
    <x v="13"/>
    <x v="126"/>
    <x v="41"/>
    <s v="https://www.atelierandavenue.com/"/>
    <s v="Mr"/>
    <s v="Alessio Bravi"/>
    <m/>
    <s v="Alessio.Bravi@atelierandavenue.com"/>
    <m/>
    <m/>
    <m/>
    <m/>
    <s v="June 19th - Cold email."/>
    <x v="0"/>
    <s v="https://angel.co/atelier-avenue-1"/>
    <x v="7"/>
    <s v="https://www.linkedin.com/company/atelier-&amp;-avenue/"/>
    <x v="0"/>
  </r>
  <r>
    <n v="129"/>
    <d v="2018-06-19T00:00:00"/>
    <x v="0"/>
    <x v="2"/>
    <d v="2018-06-21T00:00:00"/>
    <s v="Jun"/>
    <x v="28"/>
    <x v="127"/>
    <x v="27"/>
    <s v="http://www.caltdynamics.com/"/>
    <s v="Mr"/>
    <s v="Ross Lawless"/>
    <s v="Off - 00353862577039"/>
    <s v="RossLawless@caltdynamics.com"/>
    <m/>
    <m/>
    <s v="Info@caltdynamics.com"/>
    <m/>
    <s v="June 19th - Cold email./June 21st - No answer - 1st followup email."/>
    <x v="0"/>
    <s v="https://angel.co/calt-dynamics"/>
    <x v="7"/>
    <s v="https://www.linkedin.com/company/calt-dynamics/"/>
    <x v="1"/>
  </r>
  <r>
    <n v="130"/>
    <d v="2018-06-19T00:00:00"/>
    <x v="0"/>
    <x v="2"/>
    <d v="2018-06-19T00:00:00"/>
    <s v="Jun"/>
    <x v="13"/>
    <x v="128"/>
    <x v="9"/>
    <s v="https://appvia.io/"/>
    <s v="Mr"/>
    <s v="Jay Keshur"/>
    <m/>
    <s v="Jay.Keshur@appvia.io"/>
    <m/>
    <m/>
    <s v="info@appvia.io"/>
    <m/>
    <s v="June 19th - Cold email."/>
    <x v="0"/>
    <s v="https://angel.co/appvia"/>
    <x v="7"/>
    <s v="https://www.linkedin.com/company/appvia/"/>
    <x v="0"/>
  </r>
  <r>
    <n v="131"/>
    <d v="2018-06-19T00:00:00"/>
    <x v="0"/>
    <x v="2"/>
    <d v="2018-06-19T00:00:00"/>
    <s v="Jun"/>
    <x v="13"/>
    <x v="129"/>
    <x v="5"/>
    <s v="https://ultimateboxxer.com/"/>
    <s v="Mr"/>
    <s v="Louis Wright"/>
    <m/>
    <s v="Louis.Wright@ultimateboxxer.com / Louis@ultimateboxxer.com"/>
    <m/>
    <m/>
    <s v="info@ultimateboxxer.com"/>
    <m/>
    <s v="June 19th - Cold email."/>
    <x v="0"/>
    <s v="https://angel.co/ultimate-boxxer-1"/>
    <x v="7"/>
    <s v="https://www.linkedin.com/company/ultimateboxxer/"/>
    <x v="0"/>
  </r>
  <r>
    <n v="132"/>
    <d v="2018-06-19T00:00:00"/>
    <x v="0"/>
    <x v="2"/>
    <d v="2018-07-26T00:00:00"/>
    <s v="Jul"/>
    <x v="13"/>
    <x v="130"/>
    <x v="18"/>
    <s v="https://buildpathcript.wordpress.com/"/>
    <s v="Mr"/>
    <s v="Alireza Bagheri"/>
    <m/>
    <s v="alireza.bagheri@buildpath.co.uk"/>
    <m/>
    <m/>
    <m/>
    <s v="Skype - alireza-bagheri"/>
    <s v="June 19th - Cold email./June 25th - Linkedin invite accepted./June 26th - Asked to write via email."/>
    <x v="0"/>
    <s v="https://angel.co/cript"/>
    <x v="7"/>
    <s v="https://www.linkedin.com/company/cript-limited/"/>
    <x v="0"/>
  </r>
  <r>
    <n v="133"/>
    <d v="2018-06-21T00:00:00"/>
    <x v="0"/>
    <x v="2"/>
    <d v="2018-06-21T00:00:00"/>
    <s v="Jun"/>
    <x v="0"/>
    <x v="131"/>
    <x v="6"/>
    <s v="https://www.payrollpanda.my/"/>
    <s v="Mr"/>
    <s v="Toine Vaessen"/>
    <s v="Off - +60 3 2787 9168"/>
    <s v="Toine@payrollpanda.my"/>
    <m/>
    <m/>
    <s v="admin@payrollpanda.my"/>
    <m/>
    <s v="June 21st - Cold email - Toine not around - call tomorrow."/>
    <x v="0"/>
    <s v="https://remote.co/job/web-developer-9/"/>
    <x v="8"/>
    <s v="https://www.linkedin.com/company/payroll-panda/"/>
    <x v="0"/>
  </r>
  <r>
    <n v="134"/>
    <d v="2018-06-21T00:00:00"/>
    <x v="0"/>
    <x v="2"/>
    <d v="2018-06-21T00:00:00"/>
    <s v="Jun"/>
    <x v="0"/>
    <x v="132"/>
    <x v="10"/>
    <m/>
    <s v="Mr"/>
    <s v="VJong Cheang"/>
    <s v="Off - +603-9205 5200"/>
    <s v="jacky@esa.my"/>
    <m/>
    <m/>
    <m/>
    <m/>
    <s v="June 21st - Linkedin request sent - Spoke with gatekeeper - asked to email Jacky(development head)."/>
    <x v="0"/>
    <s v="http://startupjobs.asia/job/38921-web-developer-it-loca-asia-sdn-bhd-malaysia"/>
    <x v="3"/>
    <s v="https://www.linkedin.com/in/vjong-cheang-4b149284/"/>
    <x v="2"/>
  </r>
  <r>
    <n v="135"/>
    <d v="2018-06-21T00:00:00"/>
    <x v="0"/>
    <x v="2"/>
    <d v="2018-06-21T00:00:00"/>
    <s v="Jun"/>
    <x v="2"/>
    <x v="133"/>
    <x v="42"/>
    <s v="https://www.doctoranywhere.com"/>
    <s v="Mr"/>
    <s v="Rishik Bahri"/>
    <s v="Off - (+65) 6591 8668"/>
    <s v="Rishik@doctoranywhere.com"/>
    <m/>
    <m/>
    <s v="rishikbahri_1@yahoo.com"/>
    <m/>
    <s v="June 21st - Linkedin msg - Called - no answer."/>
    <x v="0"/>
    <s v="https://www.techinasia.com/jobs/6966ce4b-2b10-41e4-beb6-1dfa4ff7fd26"/>
    <x v="4"/>
    <s v="https://www.linkedin.com/company/doctor-anywhere-pte-ltd/"/>
    <x v="1"/>
  </r>
  <r>
    <n v="136"/>
    <d v="2018-06-21T00:00:00"/>
    <x v="0"/>
    <x v="2"/>
    <d v="2018-06-21T00:00:00"/>
    <s v="Jun"/>
    <x v="2"/>
    <x v="134"/>
    <x v="14"/>
    <s v="https://www.cudy.co/"/>
    <s v="Mr"/>
    <s v="Alexander Lim"/>
    <m/>
    <s v="Alexander.Lim@cudy.co / Alexander@cudy.co"/>
    <m/>
    <m/>
    <s v="hello@cudy.co"/>
    <m/>
    <s v="June 21st - Cold email."/>
    <x v="0"/>
    <s v="https://www.techinasia.com/jobs/f9701907-dca6-4117-b093-f8a02c1ed96c"/>
    <x v="4"/>
    <s v="https://www.linkedin.com/company/cudy/"/>
    <x v="0"/>
  </r>
  <r>
    <n v="137"/>
    <d v="2018-06-21T00:00:00"/>
    <x v="0"/>
    <x v="2"/>
    <d v="2018-06-21T00:00:00"/>
    <s v="Jun"/>
    <x v="23"/>
    <x v="135"/>
    <x v="43"/>
    <s v="https://myliane.com/"/>
    <s v="Mr"/>
    <s v="Anna Benini"/>
    <s v="Off - +39 3425065272 / +39 3275549513(M)"/>
    <s v="beninianna77@gmail.com"/>
    <m/>
    <m/>
    <s v="info@myliane.com"/>
    <m/>
    <s v="June 21st - Cold email - Benini responded - will contact if interested."/>
    <x v="2"/>
    <s v="https://www.f6s.com/jobs/36817/lianesrl/cto"/>
    <x v="6"/>
    <s v="https://www.linkedin.com/company/lianeapp/"/>
    <x v="0"/>
  </r>
  <r>
    <n v="138"/>
    <d v="2018-06-21T00:00:00"/>
    <x v="0"/>
    <x v="2"/>
    <d v="2018-06-21T00:00:00"/>
    <s v="Jun"/>
    <x v="13"/>
    <x v="136"/>
    <x v="44"/>
    <s v="https://www.getmucho.com"/>
    <s v="Mr"/>
    <s v="Michael Groves"/>
    <m/>
    <s v="MICHAEL@getmucho.com"/>
    <m/>
    <m/>
    <s v="hi@getmucho.com"/>
    <m/>
    <s v="June 21st - Cold email."/>
    <x v="0"/>
    <s v="https://www.f6s.com/jobs/36815/muchobycook-incompanylimited/full-stack-developer"/>
    <x v="6"/>
    <s v="https://www.linkedin.com/company/getmucho/"/>
    <x v="0"/>
  </r>
  <r>
    <n v="139"/>
    <d v="2018-06-21T00:00:00"/>
    <x v="0"/>
    <x v="2"/>
    <d v="2018-06-21T00:00:00"/>
    <s v="Jun"/>
    <x v="23"/>
    <x v="18"/>
    <x v="10"/>
    <m/>
    <s v="Mr"/>
    <s v="Märt Aro"/>
    <m/>
    <m/>
    <m/>
    <m/>
    <m/>
    <m/>
    <s v="June 21st - Linkedin request sent."/>
    <x v="0"/>
    <s v="https://www.f6s.com/jobs/36813/rinascimente/education-app-developer-product-manager"/>
    <x v="6"/>
    <s v="https://www.linkedin.com/in/m%C3%A4rt-aro-9703086/"/>
    <x v="0"/>
  </r>
  <r>
    <n v="140"/>
    <d v="2018-06-21T00:00:00"/>
    <x v="0"/>
    <x v="2"/>
    <d v="2018-06-21T00:00:00"/>
    <s v="Jun"/>
    <x v="11"/>
    <x v="137"/>
    <x v="10"/>
    <m/>
    <s v="Mr"/>
    <s v="Nickolas Jonathon Sternberg-Heyze"/>
    <m/>
    <m/>
    <m/>
    <m/>
    <m/>
    <m/>
    <s v="June 21st - Linkedin request sent."/>
    <x v="0"/>
    <s v="https://angel.co/mobly-1"/>
    <x v="7"/>
    <s v="https://www.linkedin.com/in/nickolasheyze-profile/"/>
    <x v="0"/>
  </r>
  <r>
    <n v="141"/>
    <d v="2018-06-21T00:00:00"/>
    <x v="0"/>
    <x v="2"/>
    <d v="2018-06-21T00:00:00"/>
    <s v="Jun"/>
    <x v="29"/>
    <x v="138"/>
    <x v="9"/>
    <s v="https://www.elementus.io"/>
    <s v="Mr"/>
    <s v="Max Galka"/>
    <m/>
    <s v="Max@elementus.io"/>
    <m/>
    <m/>
    <s v="hello@elementus.io"/>
    <m/>
    <s v="June 21st - Cold email."/>
    <x v="0"/>
    <s v="https://angel.co/elementus/jobs/381833-full-stack-developer"/>
    <x v="7"/>
    <s v="https://www.linkedin.com/company/elementus.io/"/>
    <x v="0"/>
  </r>
  <r>
    <n v="142"/>
    <d v="2018-06-21T00:00:00"/>
    <x v="0"/>
    <x v="2"/>
    <d v="2018-06-21T00:00:00"/>
    <s v="Jun"/>
    <x v="13"/>
    <x v="139"/>
    <x v="45"/>
    <s v="http://www.capexmove.io"/>
    <s v="Mr"/>
    <s v="Dario Scarcella"/>
    <m/>
    <s v="Dario.Scarcella@capexmove.io"/>
    <m/>
    <m/>
    <s v="hello@capexmove.io_x000a_"/>
    <m/>
    <s v="June 21st - Cold email."/>
    <x v="0"/>
    <s v="https://angel.co/capexmove"/>
    <x v="7"/>
    <s v="https://www.linkedin.com/company/capexmove/"/>
    <x v="0"/>
  </r>
  <r>
    <n v="143"/>
    <d v="2018-06-21T00:00:00"/>
    <x v="0"/>
    <x v="2"/>
    <d v="2018-06-21T00:00:00"/>
    <s v="Jun"/>
    <x v="20"/>
    <x v="140"/>
    <x v="13"/>
    <s v="https://sopinet.com/"/>
    <s v="Mr"/>
    <s v="Fernando Hidalgo"/>
    <s v="Off - +34 900831133"/>
    <s v="Fernando@sopinet.com"/>
    <m/>
    <m/>
    <s v="info@sopinet.com"/>
    <m/>
    <s v="June 21st - Cold email - Accepted the linkedin invite."/>
    <x v="0"/>
    <s v="https://angel.co/sopinet-1"/>
    <x v="7"/>
    <s v="https://www.linkedin.com/company/sopinet/"/>
    <x v="0"/>
  </r>
  <r>
    <n v="144"/>
    <d v="2018-06-21T00:00:00"/>
    <x v="0"/>
    <x v="2"/>
    <d v="2018-06-21T00:00:00"/>
    <s v="Jun"/>
    <x v="30"/>
    <x v="141"/>
    <x v="13"/>
    <s v="https://kiprotect.com"/>
    <s v="Mr"/>
    <s v="Katharine Jarmul"/>
    <m/>
    <m/>
    <m/>
    <m/>
    <m/>
    <m/>
    <s v="June 21st - Cold email."/>
    <x v="0"/>
    <s v="https://angel.co/kiprotect"/>
    <x v="7"/>
    <s v="https://www.linkedin.com/company/kiprotect/"/>
    <x v="0"/>
  </r>
  <r>
    <n v="145"/>
    <d v="2018-06-22T00:00:00"/>
    <x v="0"/>
    <x v="2"/>
    <d v="2018-06-21T00:00:00"/>
    <s v="Jun"/>
    <x v="2"/>
    <x v="18"/>
    <x v="10"/>
    <s v="http://manjalabs.com"/>
    <s v="Mr"/>
    <s v="Jeremy Lim"/>
    <s v="Off - +65 6363 5133"/>
    <s v="jeremylim@manjalabs.com "/>
    <m/>
    <m/>
    <s v="enquiries@manjalabs.com"/>
    <m/>
    <s v="June 21st - Cold email./June 22nd - wrong number."/>
    <x v="0"/>
    <s v="http://startupjobs.asia/job/38568-senior-data-scientist-machine-learning-manja-technologies-pte-ltd-singapore"/>
    <x v="3"/>
    <m/>
    <x v="0"/>
  </r>
  <r>
    <n v="146"/>
    <d v="2018-06-21T00:00:00"/>
    <x v="0"/>
    <x v="2"/>
    <d v="2018-06-21T00:00:00"/>
    <s v="Jun"/>
    <x v="0"/>
    <x v="142"/>
    <x v="10"/>
    <s v="https://althr.co"/>
    <m/>
    <m/>
    <m/>
    <m/>
    <m/>
    <m/>
    <s v="support@alt.hr"/>
    <m/>
    <s v="June 21st - Cold email."/>
    <x v="0"/>
    <s v="http://startupjobs.asia/job/38933-software-engineer-full-stack-developer-alt-hr-malaysia"/>
    <x v="3"/>
    <m/>
    <x v="0"/>
  </r>
  <r>
    <n v="147"/>
    <d v="2018-06-21T00:00:00"/>
    <x v="0"/>
    <x v="2"/>
    <d v="2018-06-22T00:00:00"/>
    <s v="Jun"/>
    <x v="2"/>
    <x v="143"/>
    <x v="9"/>
    <s v="https://www.tourego.com"/>
    <s v="Mr"/>
    <s v="Roland Wee"/>
    <s v="Off - +65 6909 2409"/>
    <s v="Roland.Wee@tourego.com / Roland@tourego.com"/>
    <m/>
    <m/>
    <s v="hello@tourego.com"/>
    <m/>
    <s v="June 21st - Cold email./June 22nd - Not interested."/>
    <x v="1"/>
    <s v="https://www.techinasia.com/jobs/7b1521c5-2f7c-4058-ab67-a3fa9d324f42"/>
    <x v="4"/>
    <s v="https://www.linkedin.com/company/tourego-pte-ltd/"/>
    <x v="1"/>
  </r>
  <r>
    <n v="148"/>
    <d v="2018-06-21T00:00:00"/>
    <x v="0"/>
    <x v="2"/>
    <d v="2018-06-22T00:00:00"/>
    <s v="Jun"/>
    <x v="0"/>
    <x v="144"/>
    <x v="10"/>
    <s v="http://grabhaulier.business.site/"/>
    <s v="Ms"/>
    <s v="Karen Fairclough-Ng"/>
    <s v="Off - +60 3-5613 3833 / +60122380452(Karen Home no - got from Linkedin)"/>
    <s v="Karen.Fairclough-Ng@grabhaulier.com"/>
    <m/>
    <m/>
    <s v="karen.m.ng@gmail.com"/>
    <s v="Skype - karenng01"/>
    <s v="June 21st - Linkedin request sent./June 22nd - Spk with Karen - She is rushing for a meeting - call back in 2 hrs @ 3PM IST - Spk with Karen - Psoitive response - They want someone to built a system - Huge project - Asked for the portfolio."/>
    <x v="3"/>
    <s v="https://www.techinasia.com/jobs/2c24be74-f2a4-49be-be6f-0da8aee97c80"/>
    <x v="4"/>
    <s v="https://www.linkedin.com/in/karen-fairclough-ng-0b874a12/"/>
    <x v="0"/>
  </r>
  <r>
    <n v="149"/>
    <d v="2018-07-17T00:00:00"/>
    <x v="0"/>
    <x v="3"/>
    <d v="2018-07-18T00:00:00"/>
    <s v="Jul"/>
    <x v="6"/>
    <x v="145"/>
    <x v="46"/>
    <s v="http://www.thinkcol.com"/>
    <s v="Mr"/>
    <s v="Kane Wu"/>
    <s v="Off - +852 3705 1019"/>
    <s v="kane.wu@thinkcol.com"/>
    <s v="Sam Ho"/>
    <m/>
    <s v="sam.ho@thinkcol.com"/>
    <m/>
    <s v="July 17th - Spoke with Kelvin - Asked to contact Kane &amp; Sam./July 18th - Spoke with Kane - He gave a contact for ML."/>
    <x v="3"/>
    <s v="http://startupjobs.asia/job/39407-intern-ux-designer-graphic-designer-ui-ux-thinkcol-hong-kong"/>
    <x v="3"/>
    <s v="https://www.linkedin.com/company/thinkcol-limited/"/>
    <x v="2"/>
  </r>
  <r>
    <n v="150"/>
    <d v="2018-07-17T00:00:00"/>
    <x v="0"/>
    <x v="3"/>
    <d v="2018-07-18T00:00:00"/>
    <s v="Jul"/>
    <x v="2"/>
    <x v="146"/>
    <x v="44"/>
    <s v="https://the2uo.com"/>
    <s v="Mr"/>
    <s v="Benjamin Koh Jinwei"/>
    <s v="Off - +65 98774490"/>
    <s v="kkoh.jinwei@gmail.com"/>
    <m/>
    <m/>
    <m/>
    <m/>
    <s v="July 17th - Unable to connect - Linkedin request sent./July 18th - Spoke with Benjamin - Asked to drop the company details."/>
    <x v="2"/>
    <s v="http://startupjobs.asia/job/39375-chief-technology-officer-ui-ux-the2uo-singapore"/>
    <x v="3"/>
    <s v="https://www.linkedin.com/company/the2uo/"/>
    <x v="2"/>
  </r>
  <r>
    <n v="151"/>
    <d v="2018-07-17T00:00:00"/>
    <x v="0"/>
    <x v="3"/>
    <d v="2018-07-19T00:00:00"/>
    <s v="Jul"/>
    <x v="0"/>
    <x v="147"/>
    <x v="46"/>
    <s v="http://www.appzilo.com/"/>
    <s v="Mr"/>
    <s v="Patrick Ooi"/>
    <m/>
    <s v="Patrick.Ooi@appzilo.com / Patrick@appzilo.com"/>
    <m/>
    <m/>
    <m/>
    <m/>
    <s v="July 17th - Linkedin request sent./July 19th - 1st followup email."/>
    <x v="0"/>
    <s v="http://startupjobs.asia/job/39195-android-mobile-developer-ui-ux-appzilo-malaysia"/>
    <x v="3"/>
    <s v="https://www.linkedin.com/in/patrickooi/"/>
    <x v="0"/>
  </r>
  <r>
    <n v="152"/>
    <d v="2018-07-17T00:00:00"/>
    <x v="0"/>
    <x v="3"/>
    <d v="2018-07-17T00:00:00"/>
    <s v="Jul"/>
    <x v="0"/>
    <x v="148"/>
    <x v="46"/>
    <s v="http://www.encoremed.io"/>
    <s v="Mr"/>
    <s v="Tzyy Jiun Tai"/>
    <m/>
    <m/>
    <m/>
    <m/>
    <m/>
    <m/>
    <s v="July 17th - Linkedin request sent."/>
    <x v="0"/>
    <s v="http://startupjobs.asia/job/38043-ui-ux-designer-cum-project-manager-ui-ux-encore-med-sdn-bhd-malaysia"/>
    <x v="3"/>
    <s v="https://www.linkedin.com/in/dr-tzyy-jiun-tai-717a7a15b/"/>
    <x v="0"/>
  </r>
  <r>
    <n v="153"/>
    <d v="2018-07-17T00:00:00"/>
    <x v="0"/>
    <x v="3"/>
    <d v="2018-07-18T00:00:00"/>
    <s v="Jul"/>
    <x v="2"/>
    <x v="149"/>
    <x v="46"/>
    <s v="http://www.eunoia.asia/"/>
    <s v="Mr"/>
    <s v="Zwee Wee"/>
    <s v="Off - +65 6534 8186"/>
    <s v="Zwee@eunoia.asia"/>
    <m/>
    <m/>
    <s v="sales@eunoia.asia"/>
    <m/>
    <s v="July 17th - Cold email./July 18th - Spoke with gatekeeper - They have hired the Designer."/>
    <x v="2"/>
    <s v="http://startupjobs.asia/job/37845-ui-ux-designer-ui-ux-eunoia-pte-ltd-singapore"/>
    <x v="3"/>
    <s v="https://www.linkedin.com/company/eunoiaasia/"/>
    <x v="2"/>
  </r>
  <r>
    <n v="154"/>
    <d v="2018-07-17T00:00:00"/>
    <x v="0"/>
    <x v="3"/>
    <d v="2018-07-18T00:00:00"/>
    <s v="Jul"/>
    <x v="0"/>
    <x v="150"/>
    <x v="27"/>
    <s v="https://pandorabox.com.my"/>
    <s v="Mr"/>
    <s v="Tyler Yew"/>
    <s v="Off - +6019-5208881"/>
    <s v="Tyler@pandorabox.com.my"/>
    <m/>
    <m/>
    <m/>
    <m/>
    <s v="July 17th - Cold email./July 18th - Spoke with gatekeeper - Tyler is not in town - China - Will be back next week."/>
    <x v="0"/>
    <s v="http://startupjobs.asia/job/37332-technical-co-founder-pandorabox-ui-ux-pandorabox-malaysia-malaysia"/>
    <x v="3"/>
    <s v="https://www.linkedin.com/company/pandorabox-ecommerce-sdn-bhd/"/>
    <x v="2"/>
  </r>
  <r>
    <n v="155"/>
    <d v="2018-07-17T00:00:00"/>
    <x v="0"/>
    <x v="3"/>
    <d v="2018-07-18T00:00:00"/>
    <s v="Jul"/>
    <x v="2"/>
    <x v="151"/>
    <x v="41"/>
    <s v="https://accela.asia"/>
    <s v="Mr"/>
    <s v="Erin Padilla"/>
    <s v="Off - +65 8518 8522"/>
    <s v="erin@accela.asia"/>
    <m/>
    <m/>
    <s v="hello@accela.asia"/>
    <m/>
    <s v="July 17th - Cold email./July 18th -- Spoke with Justin - they are hiring javascript for their client."/>
    <x v="1"/>
    <s v="http://startupjobs.asia/job/39391-senior-javascript-developer-full-stack-developer-accela-pte-ltd-singapore"/>
    <x v="3"/>
    <s v="https://www.linkedin.com/company/accela/"/>
    <x v="2"/>
  </r>
  <r>
    <n v="156"/>
    <d v="2018-07-17T00:00:00"/>
    <x v="0"/>
    <x v="3"/>
    <d v="2018-07-18T00:00:00"/>
    <s v="Jul"/>
    <x v="0"/>
    <x v="152"/>
    <x v="11"/>
    <s v="https://mybump.my/"/>
    <s v="Mr"/>
    <s v="Dhanish A"/>
    <s v="Off - +60 3-7660 6434"/>
    <s v="Dhanish@mybump.my / Karam@mybump.my"/>
    <m/>
    <m/>
    <s v="support@mybump.my"/>
    <m/>
    <s v="July 17th - Cold email./July 18th - Spoke with Dhanish - They prefer inhouse hiring - Droping an email."/>
    <x v="2"/>
    <s v="http://startupjobs.asia/job/39164-front-end-mobile-developer-front-end-developers-mybump-media-malaysia"/>
    <x v="3"/>
    <s v="https://www.linkedin.com/company/mybump-llp/"/>
    <x v="2"/>
  </r>
  <r>
    <n v="157"/>
    <d v="2018-07-17T00:00:00"/>
    <x v="0"/>
    <x v="3"/>
    <d v="2018-07-18T00:00:00"/>
    <s v="Jul"/>
    <x v="2"/>
    <x v="153"/>
    <x v="13"/>
    <s v="http://www.direct-id.sg"/>
    <s v="Mr"/>
    <s v="Drake Woon"/>
    <s v="Off - +65 9150 7233"/>
    <s v="drakewoon@gmail.com / DW@durrows.com"/>
    <m/>
    <m/>
    <m/>
    <m/>
    <s v="July 17th - Cold email./July 18th - Drake responded asking for development help - email send - Called - no answer - Ballpark estimate send./July 19th - Called - No answer - Project awarded to local agency - Asked about AI services via Linkedin - Shared the video link of MR training project./Aug 7th - Spke with Drake - team is busy with restructuring the system - will get back."/>
    <x v="3"/>
    <s v="http://startupjobs.asia/job/39045-web-developer-part-time-front-end-developers-durrows-pte-ltd-singapore"/>
    <x v="3"/>
    <s v="https://www.linkedin.com/company/durrows/"/>
    <x v="1"/>
  </r>
  <r>
    <n v="158"/>
    <d v="2018-07-17T00:00:00"/>
    <x v="0"/>
    <x v="3"/>
    <d v="2018-07-19T00:00:00"/>
    <s v="Jul"/>
    <x v="2"/>
    <x v="154"/>
    <x v="44"/>
    <s v="http://www.wheelchefs.com"/>
    <s v="Mr"/>
    <s v="Yashaswi Agrawal"/>
    <m/>
    <s v="yashaswi.agrawal@gmail.com"/>
    <m/>
    <m/>
    <m/>
    <m/>
    <s v="July 17th - Cold email./July 19th - 1st followup email."/>
    <x v="0"/>
    <s v="https://www.techinasia.com/jobs/3640cf76-df6a-4840-9c29-b5c39dde063e"/>
    <x v="4"/>
    <s v="https://www.linkedin.com/company/wheelchef/"/>
    <x v="0"/>
  </r>
  <r>
    <n v="159"/>
    <d v="2018-07-17T00:00:00"/>
    <x v="0"/>
    <x v="3"/>
    <d v="2018-07-19T00:00:00"/>
    <s v="Jul"/>
    <x v="2"/>
    <x v="155"/>
    <x v="46"/>
    <s v="https://www.akeles.com"/>
    <s v="Mr"/>
    <s v="Sim Hua Soon"/>
    <s v="Off - +65 6100 9454"/>
    <s v="contact@akeles.com"/>
    <m/>
    <m/>
    <m/>
    <m/>
    <s v="July 17th - Cold email./July 18th - No answer - Followup tomorrow./July 19th - No answer - Followup email send."/>
    <x v="0"/>
    <s v="https://www.techinasia.com/jobs/da104bf7-2635-4a9f-8fc9-ade35d7aa196"/>
    <x v="4"/>
    <s v="https://www.linkedin.com/in/sim-hua-soon-4258712/"/>
    <x v="1"/>
  </r>
  <r>
    <n v="160"/>
    <d v="2018-07-17T00:00:00"/>
    <x v="0"/>
    <x v="3"/>
    <d v="2018-07-19T00:00:00"/>
    <s v="Jul"/>
    <x v="0"/>
    <x v="156"/>
    <x v="46"/>
    <s v="https://www.oceannexus.my/en/"/>
    <s v="Mr"/>
    <s v="Chen Hui (Ray) Lee"/>
    <s v="Off - +603 7734 2387"/>
    <s v="ray@oceannexus.my"/>
    <m/>
    <m/>
    <s v="enquiry@oceannexus.my / "/>
    <s v="saiful@oceannexus.my"/>
    <s v="July 17th - Cold email./July 18th - Unable to reach./July 19th - No answer - 1st followup email."/>
    <x v="0"/>
    <s v="https://www.techinasia.com/jobs/04e05586-1a33-4f1e-8b76-ed531a4fa8e6"/>
    <x v="4"/>
    <s v="https://www.linkedin.com/company/ocean-nexus-sdn-bhd/"/>
    <x v="1"/>
  </r>
  <r>
    <n v="161"/>
    <d v="2018-07-18T00:00:00"/>
    <x v="0"/>
    <x v="3"/>
    <d v="2018-07-19T00:00:00"/>
    <s v="Jul"/>
    <x v="2"/>
    <x v="157"/>
    <x v="46"/>
    <s v="https://ww1.zeguestlist.com/"/>
    <s v="Mr"/>
    <s v="Jonathan Ivarsson"/>
    <s v="Off - +65 6816 1121"/>
    <s v="jonathan@zeguestlist.com"/>
    <m/>
    <m/>
    <m/>
    <m/>
    <s v="July 18th - Cold email./July 19th - Spoke with Jonathan - Looking for inhouse hire."/>
    <x v="1"/>
    <s v="http://startupjobs.asia/job/39429-full-stack-developer-full-stack-developer-onlive-io-zeguestlist-pte-ltd-anywhere"/>
    <x v="3"/>
    <s v="https://www.linkedin.com/company/zeguestlist---simplifying-events/"/>
    <x v="2"/>
  </r>
  <r>
    <n v="162"/>
    <d v="2018-07-18T00:00:00"/>
    <x v="0"/>
    <x v="3"/>
    <d v="2018-07-19T00:00:00"/>
    <s v="Jul"/>
    <x v="2"/>
    <x v="158"/>
    <x v="47"/>
    <s v="https://carmen.sg"/>
    <s v="Mr"/>
    <s v="Sem Chong"/>
    <s v="Off - (+65) 8484 9584"/>
    <s v="sem.chong@carmen.sg"/>
    <m/>
    <m/>
    <s v="support@carmen.sg"/>
    <m/>
    <s v="July 18th - Cold email./July 19th - No answer - 1st followup email."/>
    <x v="0"/>
    <s v="https://www.techinasia.com/jobs/468cceba-d5a6-4295-83c0-9abf9f73f2e3"/>
    <x v="4"/>
    <s v="https://www.linkedin.com/company/carmenautomotivepl/"/>
    <x v="1"/>
  </r>
  <r>
    <n v="163"/>
    <d v="2018-07-18T00:00:00"/>
    <x v="0"/>
    <x v="3"/>
    <d v="2018-07-18T00:00:00"/>
    <s v="Jul"/>
    <x v="5"/>
    <x v="159"/>
    <x v="46"/>
    <s v="http://luminovo.ai/"/>
    <s v="Mr"/>
    <s v="Timon Ruban"/>
    <m/>
    <s v="Timon.Ruban@luminovo.ai / Timon@luminovo.ai"/>
    <m/>
    <m/>
    <m/>
    <m/>
    <s v="July 18th - Cold email."/>
    <x v="0"/>
    <s v="https://www.f6s.com/jobs/37320/luminovo.ai/full-stack-developer"/>
    <x v="6"/>
    <s v="https://www.linkedin.com/company/luminovo-ai/"/>
    <x v="0"/>
  </r>
  <r>
    <n v="164"/>
    <d v="2018-07-18T00:00:00"/>
    <x v="0"/>
    <x v="3"/>
    <d v="2018-07-18T00:00:00"/>
    <s v="Jul"/>
    <x v="23"/>
    <x v="160"/>
    <x v="41"/>
    <s v="http://www.starsandcows.com"/>
    <s v="Mr"/>
    <s v="Marcella Gubitosa"/>
    <m/>
    <s v="marcella.gubitosa@starsandcows.com"/>
    <m/>
    <m/>
    <m/>
    <m/>
    <s v="July 18th - Cold email."/>
    <x v="0"/>
    <s v="https://www.f6s.com/jobs/37315/starscowssoccoop1/full-strak-web-developer"/>
    <x v="6"/>
    <s v="https://www.linkedin.com/company/stars-&amp;-cows-societ%C3%A0-cooperativa/"/>
    <x v="0"/>
  </r>
  <r>
    <n v="165"/>
    <d v="2018-07-18T00:00:00"/>
    <x v="0"/>
    <x v="3"/>
    <d v="2018-07-18T00:00:00"/>
    <s v="Jul"/>
    <x v="13"/>
    <x v="161"/>
    <x v="48"/>
    <m/>
    <s v="Mr"/>
    <s v="Alexandru Okros"/>
    <m/>
    <m/>
    <m/>
    <m/>
    <m/>
    <m/>
    <s v="July 18th - Linkedin request send."/>
    <x v="0"/>
    <s v="https://www.f6s.com/jobs/37311/schema.rocks/junior-full-stack-web-developer"/>
    <x v="6"/>
    <s v="https://www.linkedin.com/in/alexandru-okros-58976212b/"/>
    <x v="0"/>
  </r>
  <r>
    <n v="166"/>
    <d v="2018-07-18T00:00:00"/>
    <x v="0"/>
    <x v="3"/>
    <d v="2018-07-18T00:00:00"/>
    <s v="Jul"/>
    <x v="13"/>
    <x v="162"/>
    <x v="18"/>
    <s v="https://trueai.io/"/>
    <s v="Mr"/>
    <s v="Abhishek Aggarwal"/>
    <m/>
    <s v="Abhi@trueai.io"/>
    <m/>
    <m/>
    <s v="info@trueai.io"/>
    <m/>
    <s v="July 18th - Cold email."/>
    <x v="0"/>
    <s v="https://www.f6s.com/jobs/37310/trueai/frontend-developer-and-designer"/>
    <x v="6"/>
    <s v="https://www.linkedin.com/company/true-ai/"/>
    <x v="0"/>
  </r>
  <r>
    <n v="167"/>
    <d v="2018-07-18T00:00:00"/>
    <x v="0"/>
    <x v="3"/>
    <d v="2018-07-19T00:00:00"/>
    <s v="Jul"/>
    <x v="21"/>
    <x v="163"/>
    <x v="24"/>
    <s v="https://en.getmoona.com/"/>
    <s v="Mr"/>
    <s v="David Stoikovitch"/>
    <s v="Off - +33 6 51 70 68 30(Call charged)"/>
    <s v="David@getmoona.com"/>
    <m/>
    <m/>
    <s v="hello@getmoona.com"/>
    <s v="coline@getmoona.com"/>
    <s v="July 18th - Cold email./July 19th - Unable to connect - 1st followup email."/>
    <x v="0"/>
    <s v="https://www.f6s.com/jobs/37308/moona/stage-d-veloppeur-mobile-hybride-react"/>
    <x v="6"/>
    <s v="https://www.linkedin.com/company/moona/"/>
    <x v="0"/>
  </r>
  <r>
    <n v="168"/>
    <d v="2018-07-18T00:00:00"/>
    <x v="0"/>
    <x v="3"/>
    <d v="2018-07-19T00:00:00"/>
    <s v="Jul"/>
    <x v="23"/>
    <x v="164"/>
    <x v="46"/>
    <s v="https://www.weedea.com/"/>
    <s v="Mr"/>
    <s v="Francesco Zuccaccia"/>
    <s v="M - +393474636575(Call charged)"/>
    <s v="Francesco.Zuccaccia@weedea.com / Francesco@weedea.com"/>
    <m/>
    <s v="Skype - francesco.zuccaccia"/>
    <s v="info@weedea.com"/>
    <s v="francesco.zuccaccia@gmail.com"/>
    <s v="July 18th - Cold email./July 19th - Francesco replied via Linkedin - hiring inhouse - future opportunity - called - no answer."/>
    <x v="2"/>
    <s v="https://www.f6s.com/jobs/37307/weedea/php-developer"/>
    <x v="6"/>
    <s v="https://www.linkedin.com/company/weedea/"/>
    <x v="1"/>
  </r>
  <r>
    <n v="169"/>
    <d v="2018-07-18T00:00:00"/>
    <x v="0"/>
    <x v="3"/>
    <d v="2018-07-18T00:00:00"/>
    <s v="Jul"/>
    <x v="11"/>
    <x v="165"/>
    <x v="21"/>
    <s v="https://www.amplifyintelligence.com"/>
    <s v="Mr"/>
    <s v="Paul Byrne"/>
    <m/>
    <s v="Paul@amplifyintelligence.com"/>
    <m/>
    <m/>
    <s v="info@amplifyintelligence.com"/>
    <m/>
    <s v="July 18th - Cold email."/>
    <x v="0"/>
    <s v="https://www.f6s.com/jobs/37295/amplifyintelligence/front-end-java-vaadin-developer"/>
    <x v="6"/>
    <s v="https://www.linkedin.com/company/amplify-intelligence-limited/?originalSubdomain=au"/>
    <x v="0"/>
  </r>
  <r>
    <n v="170"/>
    <d v="2018-07-18T00:00:00"/>
    <x v="0"/>
    <x v="3"/>
    <d v="2018-07-19T00:00:00"/>
    <s v="Jul"/>
    <x v="15"/>
    <x v="166"/>
    <x v="49"/>
    <s v="http://transpooler.com/"/>
    <s v="Mr"/>
    <s v="Yasser Hassan"/>
    <s v="Off - +20 100 317 6331(call charged)"/>
    <s v="YHassan@transpooler.com"/>
    <m/>
    <m/>
    <s v="transpoolerapp@gmail.com"/>
    <m/>
    <s v="July 18th - Cold email./July 19th - Spoke with Yasser - Looking for inhouse hire."/>
    <x v="1"/>
    <s v="https://www.f6s.com/jobs/37293/transpooler/python-django-senior-developer"/>
    <x v="6"/>
    <s v="https://www.linkedin.com/in/yasser-hassan-6bab16/"/>
    <x v="2"/>
  </r>
  <r>
    <n v="171"/>
    <d v="2018-07-18T00:00:00"/>
    <x v="0"/>
    <x v="3"/>
    <d v="2018-07-18T00:00:00"/>
    <s v="Jul"/>
    <x v="13"/>
    <x v="167"/>
    <x v="6"/>
    <s v="https://alliedcrowds.com"/>
    <s v="Mr"/>
    <s v="Malcolm Kapuza"/>
    <m/>
    <s v="Malcolm.Kapuza@alliedcrowds.com / Malcolm@alliedcrowds.com"/>
    <m/>
    <m/>
    <s v="info@alliedcrowds.com"/>
    <m/>
    <s v="July 18th - Cold email."/>
    <x v="0"/>
    <s v="https://www.f6s.com/jobs/37289/alliedcrowdsltd/software-engineer-intern"/>
    <x v="6"/>
    <s v="https://www.linkedin.com/company/alliedcrowds/"/>
    <x v="0"/>
  </r>
  <r>
    <n v="172"/>
    <d v="2018-07-18T00:00:00"/>
    <x v="0"/>
    <x v="3"/>
    <d v="2018-07-18T00:00:00"/>
    <s v="Jul"/>
    <x v="31"/>
    <x v="168"/>
    <x v="7"/>
    <m/>
    <s v="Mr"/>
    <s v="Noah Kakai"/>
    <m/>
    <m/>
    <m/>
    <m/>
    <m/>
    <m/>
    <s v="July 18th - Linkedin request send."/>
    <x v="0"/>
    <s v="https://www.f6s.com/jobs/37233/farmritelimited/software-engineer"/>
    <x v="6"/>
    <s v="https://www.linkedin.com/in/noahkakai/"/>
    <x v="0"/>
  </r>
  <r>
    <n v="173"/>
    <d v="2018-07-18T00:00:00"/>
    <x v="0"/>
    <x v="3"/>
    <d v="2018-07-18T00:00:00"/>
    <s v="Jul"/>
    <x v="9"/>
    <x v="169"/>
    <x v="13"/>
    <s v="https://www.issme.ca"/>
    <s v="Mr"/>
    <s v="Saad jan"/>
    <m/>
    <s v="Saad.jan@issme.ca"/>
    <m/>
    <m/>
    <s v="info@issme.ca"/>
    <m/>
    <s v="July 18th - Cold email."/>
    <x v="0"/>
    <s v="https://www.f6s.com/jobs/37213/issmestudentservices/technical-cofounder"/>
    <x v="6"/>
    <s v="https://www.linkedin.com/company/issme-student-services-inc/?originalSubdomain=in"/>
    <x v="0"/>
  </r>
  <r>
    <n v="174"/>
    <d v="2018-07-18T00:00:00"/>
    <x v="0"/>
    <x v="3"/>
    <d v="2018-07-18T00:00:00"/>
    <s v="Jul"/>
    <x v="23"/>
    <x v="170"/>
    <x v="46"/>
    <s v="https://wetaxi.it/"/>
    <s v="Mr"/>
    <s v="Luca Gobbato"/>
    <m/>
    <s v="Luca@wetaxi.it"/>
    <m/>
    <m/>
    <s v="info@wetaxi.it"/>
    <m/>
    <s v="July 18th - Cold email."/>
    <x v="0"/>
    <s v="https://www.f6s.com/jobs/37165/wetaxi/full-stack-developer"/>
    <x v="6"/>
    <s v="https://www.linkedin.com/company/wetaxi/"/>
    <x v="0"/>
  </r>
  <r>
    <n v="175"/>
    <d v="2018-07-18T00:00:00"/>
    <x v="0"/>
    <x v="3"/>
    <d v="2018-07-18T00:00:00"/>
    <s v="Jul"/>
    <x v="13"/>
    <x v="171"/>
    <x v="6"/>
    <m/>
    <s v="Mr"/>
    <s v="Lewis Gardner"/>
    <m/>
    <m/>
    <m/>
    <m/>
    <m/>
    <m/>
    <s v="July 18th - Linkedin request send."/>
    <x v="0"/>
    <s v="https://www.f6s.com/jobs/37161/stonefriarcapitallimited/cto"/>
    <x v="6"/>
    <s v="https://www.linkedin.com/in/ljmgardner/"/>
    <x v="0"/>
  </r>
  <r>
    <n v="176"/>
    <d v="2018-07-18T00:00:00"/>
    <x v="0"/>
    <x v="3"/>
    <d v="2018-07-18T00:00:00"/>
    <s v="Jul"/>
    <x v="18"/>
    <x v="172"/>
    <x v="24"/>
    <s v="https://tibalife.com/"/>
    <s v="Mr"/>
    <s v="Michael Auchenberg"/>
    <m/>
    <s v="michael@auchenberg.dk"/>
    <m/>
    <m/>
    <m/>
    <m/>
    <s v="July 18th - Cold email."/>
    <x v="0"/>
    <s v="https://www.f6s.com/jobs/37154/tiba/cio-cto"/>
    <x v="6"/>
    <s v="https://www.linkedin.com/company/tibalife/"/>
    <x v="0"/>
  </r>
  <r>
    <n v="177"/>
    <d v="2018-07-18T00:00:00"/>
    <x v="0"/>
    <x v="3"/>
    <d v="2018-07-18T00:00:00"/>
    <s v="Jul"/>
    <x v="21"/>
    <x v="173"/>
    <x v="13"/>
    <s v="https://www.sobus.fr/"/>
    <s v="Mr"/>
    <s v="Matthieu Marquenet"/>
    <m/>
    <s v="Matthieu.Marquenet@sobus.fr"/>
    <m/>
    <m/>
    <m/>
    <m/>
    <s v="July 18th - Cold email."/>
    <x v="0"/>
    <s v="https://www.f6s.com/jobs/37142/sobus.fr/engineer-internship-full-stack"/>
    <x v="6"/>
    <s v="https://www.linkedin.com/company/so-bus/"/>
    <x v="0"/>
  </r>
  <r>
    <n v="178"/>
    <d v="2018-07-18T00:00:00"/>
    <x v="0"/>
    <x v="3"/>
    <d v="2018-07-19T00:00:00"/>
    <s v="Jul"/>
    <x v="32"/>
    <x v="174"/>
    <x v="34"/>
    <s v="http://www.virtub.io"/>
    <s v="Mr"/>
    <s v="Dusan Svancara"/>
    <s v="Off - +420 725 807 370"/>
    <s v="Dusan.svancara@virtub.io"/>
    <m/>
    <m/>
    <m/>
    <m/>
    <s v="July 18th - Cold email./July 19th - No answer - 1st followup email."/>
    <x v="0"/>
    <s v="https://www.f6s.com/jobs/37136/virtubio/senior-backend-developer"/>
    <x v="6"/>
    <s v="https://www.linkedin.com/company/virtubio/"/>
    <x v="1"/>
  </r>
  <r>
    <n v="179"/>
    <d v="2018-07-19T00:00:00"/>
    <x v="0"/>
    <x v="3"/>
    <d v="2018-07-19T00:00:00"/>
    <s v="Jul"/>
    <x v="0"/>
    <x v="175"/>
    <x v="50"/>
    <s v="https://bloomthis.co/"/>
    <s v="Mr"/>
    <s v="Giden Lim"/>
    <m/>
    <s v="GidenLim@bloomthis.co"/>
    <m/>
    <m/>
    <s v="contact@bloomthis.co"/>
    <m/>
    <s v="July 19th - Cold email."/>
    <x v="0"/>
    <s v="http://startupjobs.asia/job/39444-tech-developer-it-bloomthis-malaysia"/>
    <x v="3"/>
    <s v="https://www.linkedin.com/company/bloomthis/"/>
    <x v="0"/>
  </r>
  <r>
    <n v="180"/>
    <d v="2018-07-19T00:00:00"/>
    <x v="0"/>
    <x v="3"/>
    <d v="2018-07-19T00:00:00"/>
    <s v="Jul"/>
    <x v="6"/>
    <x v="176"/>
    <x v="48"/>
    <s v="http://popa.hk/"/>
    <s v="Ms"/>
    <s v="Kathy Ng"/>
    <m/>
    <s v="kathy@popa.hk"/>
    <m/>
    <m/>
    <s v="info@popa.hk"/>
    <m/>
    <s v="July 19th - Cold email."/>
    <x v="0"/>
    <s v="https://www.techinasia.com/jobs/50fe2af6-1f67-4943-b446-45a658ff775c"/>
    <x v="4"/>
    <m/>
    <x v="0"/>
  </r>
  <r>
    <n v="181"/>
    <d v="2018-07-19T00:00:00"/>
    <x v="0"/>
    <x v="3"/>
    <d v="2018-07-19T00:00:00"/>
    <s v="Jul"/>
    <x v="0"/>
    <x v="177"/>
    <x v="2"/>
    <s v="https://www.synchroweb.com"/>
    <s v="Mr"/>
    <s v="Pang wee tak"/>
    <s v="Off - +60 3-5880 5486"/>
    <s v="Pang@synchroweb.com"/>
    <m/>
    <m/>
    <s v="info@synchroweb.com / sales@synchroweb.com"/>
    <m/>
    <s v="July 19th - Cold email."/>
    <x v="0"/>
    <s v="https://www.techinasia.com/jobs/d57f8591-3ccd-4978-8bd9-2d2b3f714f1f"/>
    <x v="4"/>
    <s v="https://www.linkedin.com/in/pang-wee-tak-98aa313/"/>
    <x v="0"/>
  </r>
  <r>
    <n v="182"/>
    <d v="2018-07-19T00:00:00"/>
    <x v="0"/>
    <x v="3"/>
    <d v="2018-07-19T00:00:00"/>
    <s v="Jul"/>
    <x v="2"/>
    <x v="178"/>
    <x v="11"/>
    <s v="https://www.asiamx.com/"/>
    <s v="Mr"/>
    <s v="Nick Chuah"/>
    <m/>
    <s v="nick@asiamx.com"/>
    <m/>
    <m/>
    <m/>
    <m/>
    <s v="July 19th - Cold email."/>
    <x v="0"/>
    <s v="https://www.techinasia.com/jobs/18e573ea-f360-4401-9702-6428d2c5abf8"/>
    <x v="4"/>
    <s v="https://www.linkedin.com/company/asiamx/"/>
    <x v="0"/>
  </r>
  <r>
    <n v="183"/>
    <d v="2018-07-19T00:00:00"/>
    <x v="0"/>
    <x v="3"/>
    <d v="2018-07-19T00:00:00"/>
    <s v="Jul"/>
    <x v="0"/>
    <x v="179"/>
    <x v="6"/>
    <s v="https://capitalbay.com.my/"/>
    <s v="Mr"/>
    <s v="Edwin Tan"/>
    <s v="Off - +603 5623 8709 / +6012 349 9093"/>
    <s v="Edwin@capitalbay.com.my"/>
    <m/>
    <s v="Off - +603 5623 8921"/>
    <s v="contact@capitalbay.com.my"/>
    <m/>
    <s v="July 19th - Cold email."/>
    <x v="0"/>
    <s v="https://www.techinasia.com/jobs/61662b12-13b0-4fca-b3ab-92ec6204cbba"/>
    <x v="4"/>
    <s v="https://www.linkedin.com/company/capbay/"/>
    <x v="0"/>
  </r>
  <r>
    <n v="184"/>
    <d v="2018-07-19T00:00:00"/>
    <x v="0"/>
    <x v="3"/>
    <d v="2018-07-19T00:00:00"/>
    <s v="Jul"/>
    <x v="24"/>
    <x v="180"/>
    <x v="51"/>
    <s v="http://www.meeduca.com.br/"/>
    <s v="Mr"/>
    <s v="Arthur Rubino"/>
    <m/>
    <s v="Arthur@meeduca.com.br"/>
    <m/>
    <m/>
    <m/>
    <m/>
    <s v="July 19th - Cold email."/>
    <x v="0"/>
    <s v="https://www.f6s.com/jobs/37347/meeduca/cto-co-founder"/>
    <x v="6"/>
    <s v="https://www.linkedin.com/company/meeduca/"/>
    <x v="0"/>
  </r>
  <r>
    <n v="185"/>
    <d v="2018-07-19T00:00:00"/>
    <x v="0"/>
    <x v="3"/>
    <d v="2018-07-19T00:00:00"/>
    <s v="Jul"/>
    <x v="13"/>
    <x v="181"/>
    <x v="18"/>
    <s v="https://krispykrush.com/o-o-the-app-find-like-minded-people-and-things-to-do-with-them-on-the-go/"/>
    <s v="Mr"/>
    <s v="Marie Antoine"/>
    <m/>
    <s v="marie@krispykrush.com"/>
    <m/>
    <m/>
    <m/>
    <m/>
    <s v="July 19th - Cold email."/>
    <x v="0"/>
    <s v="https://www.f6s.com/jobs/37339/noow.world/cto-co-founder"/>
    <x v="6"/>
    <s v="https://www.linkedin.com/in/krispykrush/"/>
    <x v="0"/>
  </r>
  <r>
    <n v="186"/>
    <d v="2018-07-19T00:00:00"/>
    <x v="0"/>
    <x v="3"/>
    <d v="2018-07-19T00:00:00"/>
    <s v="Jul"/>
    <x v="13"/>
    <x v="136"/>
    <x v="44"/>
    <s v="https://www.getmucho.com"/>
    <s v="Mr"/>
    <s v="Shanshan Xu"/>
    <m/>
    <s v="shanshan@getmucho.com"/>
    <m/>
    <m/>
    <m/>
    <m/>
    <s v="July 19th - Cold email."/>
    <x v="0"/>
    <s v="https://www.f6s.com/jobs/37330/muchobycook-incompanylimited/full-stack-php-developer"/>
    <x v="6"/>
    <s v="https://www.linkedin.com/company/getmucho/"/>
    <x v="0"/>
  </r>
  <r>
    <n v="187"/>
    <d v="2018-07-19T00:00:00"/>
    <x v="0"/>
    <x v="3"/>
    <d v="2018-07-19T00:00:00"/>
    <s v="Jul"/>
    <x v="33"/>
    <x v="182"/>
    <x v="33"/>
    <s v="https://www.thestoriesstudio.com/"/>
    <s v="Mr"/>
    <s v="Saba Saleem"/>
    <s v="Off - +973 3351 2707"/>
    <m/>
    <m/>
    <m/>
    <s v="mail@thestoriesstudio.com"/>
    <m/>
    <s v="July 19th - Cold email."/>
    <x v="0"/>
    <s v="https://www.f6s.com/jobs/37068/thestoriesstudio/game-programmer"/>
    <x v="6"/>
    <s v="https://www.linkedin.com/company/thestoriesstudio/"/>
    <x v="0"/>
  </r>
  <r>
    <n v="188"/>
    <d v="2018-07-19T00:00:00"/>
    <x v="0"/>
    <x v="3"/>
    <d v="2018-07-19T00:00:00"/>
    <s v="Jul"/>
    <x v="19"/>
    <x v="183"/>
    <x v="6"/>
    <s v="https://www.monkee.rocks/"/>
    <s v="Mr"/>
    <s v="Martin Granig"/>
    <m/>
    <s v="martin@monkee.rocks"/>
    <m/>
    <m/>
    <s v="info@monkee.rocks"/>
    <m/>
    <s v="July 19th - Cold email./July 19th - Martin responded - His CTO should take the decision."/>
    <x v="3"/>
    <s v="https://www.f6s.com/jobs/37027/monkee/cto-full-stack-developer"/>
    <x v="6"/>
    <m/>
    <x v="0"/>
  </r>
  <r>
    <n v="189"/>
    <d v="2018-07-19T00:00:00"/>
    <x v="0"/>
    <x v="3"/>
    <d v="2018-07-19T00:00:00"/>
    <s v="Jul"/>
    <x v="16"/>
    <x v="184"/>
    <x v="52"/>
    <s v="http://vixtape.tv/"/>
    <s v="Mr"/>
    <s v="Michael Fiorentino"/>
    <m/>
    <s v="Michael@vixtape.tv"/>
    <m/>
    <m/>
    <m/>
    <m/>
    <s v="July 19th - Cold email."/>
    <x v="0"/>
    <s v="https://www.f6s.com/jobs/37035/vixtape/cto-head-of-engineering"/>
    <x v="6"/>
    <s v="https://www.linkedin.com/company/vixtape/"/>
    <x v="0"/>
  </r>
  <r>
    <n v="190"/>
    <d v="2018-07-19T00:00:00"/>
    <x v="0"/>
    <x v="3"/>
    <d v="2018-07-19T00:00:00"/>
    <s v="Jul"/>
    <x v="34"/>
    <x v="185"/>
    <x v="46"/>
    <s v="https://premia.network"/>
    <s v="Mr"/>
    <s v="Sebastian Téllez Iñiguez"/>
    <s v="Off - +54 (722) 110 4011"/>
    <m/>
    <m/>
    <m/>
    <s v="info@premia.network"/>
    <m/>
    <s v="July 19th - Cold email."/>
    <x v="0"/>
    <s v="https://www.f6s.com/jobs/37018/premianetwork/programador"/>
    <x v="6"/>
    <s v="https://www.linkedin.com/company/premianetwork/"/>
    <x v="0"/>
  </r>
  <r>
    <n v="191"/>
    <d v="2018-08-06T00:00:00"/>
    <x v="0"/>
    <x v="4"/>
    <d v="2018-08-07T00:00:00"/>
    <s v="Aug"/>
    <x v="2"/>
    <x v="186"/>
    <x v="0"/>
    <s v="https://radioactive.sg/"/>
    <s v="Mr"/>
    <s v="Aloysius Tan"/>
    <s v="Off - (+65) 96758785"/>
    <s v="Aloysius@radioactive.sg"/>
    <m/>
    <m/>
    <s v="sales@radioactive.sg"/>
    <m/>
    <s v="Aug 6th - Cold email./Aug 7th - Spoke with Aloysius - asked not to call."/>
    <x v="3"/>
    <s v="http://startupjobs.asia/job/8947-full-stack-software-engineer-radioactive-pte-ltd-singapore"/>
    <x v="3"/>
    <s v="https://www.linkedin.com/company/radioactive.sg/"/>
    <x v="2"/>
  </r>
  <r>
    <n v="192"/>
    <d v="2018-08-06T00:00:00"/>
    <x v="0"/>
    <x v="4"/>
    <d v="2018-08-10T00:00:00"/>
    <s v="Aug"/>
    <x v="2"/>
    <x v="187"/>
    <x v="46"/>
    <s v="https://www.tenderboard.biz/"/>
    <s v="Mr"/>
    <s v="Ken Ooi"/>
    <s v="Off - +65 98624651"/>
    <s v="Ken@tenderboard.biz"/>
    <m/>
    <m/>
    <s v="hello@tenderboard.biz"/>
    <m/>
    <s v="Aug 6th - Cold email./Aug 7th - No answer - 1st followup email./Aug 8th - No answer./Aug 9th - No answer - Followed via Linkedin./Aug 10th - No answer."/>
    <x v="0"/>
    <s v="http://startupjobs.asia/job/39774-full-stack-software-developer-full-stack-developer-tenderboard-singapore"/>
    <x v="3"/>
    <s v="https://www.linkedin.com/company/tenderboard/"/>
    <x v="1"/>
  </r>
  <r>
    <n v="193"/>
    <d v="2018-08-06T00:00:00"/>
    <x v="0"/>
    <x v="4"/>
    <d v="2018-08-08T00:00:00"/>
    <s v="Aug"/>
    <x v="2"/>
    <x v="188"/>
    <x v="44"/>
    <s v="https://hookcoffee.com.sg/"/>
    <s v="Mr"/>
    <s v="Ernest Ting"/>
    <m/>
    <s v="Ernest@hookcoffee.com.sg"/>
    <m/>
    <m/>
    <s v="hola@hookcoffee.com.sg"/>
    <m/>
    <s v="Aug 6th - Cold email./Aug 8th - 1st followup email."/>
    <x v="0"/>
    <s v="http://startupjobs.asia/job/39773-full-stack-web-developer-it-hook-coffee-singapore"/>
    <x v="3"/>
    <s v="https://www.linkedin.com/company/hook-coffee/"/>
    <x v="0"/>
  </r>
  <r>
    <n v="194"/>
    <d v="2018-08-06T00:00:00"/>
    <x v="0"/>
    <x v="4"/>
    <d v="2018-08-08T00:00:00"/>
    <s v="Aug"/>
    <x v="35"/>
    <x v="189"/>
    <x v="18"/>
    <s v="https://www.jetzyapp.com/"/>
    <s v="Ms"/>
    <s v="Shama Zehra"/>
    <m/>
    <s v="Shama@jetzyapp.com / Shamazehra@jetzyapp.com"/>
    <m/>
    <m/>
    <s v="contact@jetzyapp.com"/>
    <m/>
    <s v="Aug 6th - Cold email./Aug 8th - 1st followup email."/>
    <x v="0"/>
    <s v="https://www.techinasia.com/jobs/6a07896b-c2f8-41c2-8e00-dbacd0534637"/>
    <x v="4"/>
    <s v="https://www.linkedin.com/company/jetzy---travelers-connect/"/>
    <x v="0"/>
  </r>
  <r>
    <n v="195"/>
    <d v="2018-08-06T00:00:00"/>
    <x v="0"/>
    <x v="4"/>
    <d v="2018-08-06T00:00:00"/>
    <s v="Aug"/>
    <x v="2"/>
    <x v="190"/>
    <x v="53"/>
    <s v="http://movel.ai/"/>
    <s v="Mr"/>
    <s v="Abhishek Gupta"/>
    <s v="M - +65 94518594"/>
    <s v="Abhishek@movel.ai"/>
    <m/>
    <m/>
    <s v="contact@movel.ai"/>
    <m/>
    <s v="Aug 6th - Cold email - Chatted via Linkedin - Looking for inhouse hire - Tried to convince./Aug 7th - shared the related projects - Interested to work with budget matches, but no advance payment - shared the req - got the number - spk with Abhishek regarding payment terms. "/>
    <x v="3"/>
    <s v="https://www.techinasia.com/jobs/3116e2a3-f3af-4cda-86e5-1a91169d66ba"/>
    <x v="4"/>
    <s v="https://www.linkedin.com/company/movel-ai-pte-ltd/"/>
    <x v="0"/>
  </r>
  <r>
    <n v="196"/>
    <d v="2018-08-06T00:00:00"/>
    <x v="0"/>
    <x v="4"/>
    <d v="2018-08-08T00:00:00"/>
    <s v="Aug"/>
    <x v="2"/>
    <x v="191"/>
    <x v="18"/>
    <s v="https://www.datavis.sg"/>
    <s v="Mr"/>
    <s v="Faizola Nordin"/>
    <m/>
    <s v="Faizola@datavis.sg"/>
    <m/>
    <m/>
    <s v="hello@datavis.sg"/>
    <m/>
    <s v="Aug 6th - Cold email./Aug 8th - 1st followup email."/>
    <x v="0"/>
    <s v="https://www.techinasia.com/jobs/3116e2a3-f3af-4cda-86e5-1a91169d66ba"/>
    <x v="4"/>
    <s v="https://www.linkedin.com/company/datavis-pte-ltd/"/>
    <x v="0"/>
  </r>
  <r>
    <n v="197"/>
    <d v="2018-08-06T00:00:00"/>
    <x v="0"/>
    <x v="4"/>
    <d v="2018-08-08T00:00:00"/>
    <s v="Aug"/>
    <x v="2"/>
    <x v="192"/>
    <x v="46"/>
    <s v="https://www.untangle.ai/"/>
    <s v="Mr"/>
    <s v="Naresh Rajendra Shah"/>
    <m/>
    <s v="Naresh@untangle.ai"/>
    <m/>
    <m/>
    <s v="sales@untangle.ai"/>
    <m/>
    <s v="Aug 6th - Cold email./Aug 8th - 1st followup email."/>
    <x v="0"/>
    <s v="https://www.techinasia.com/jobs/0f83b258-9a45-461f-9a44-4e488b0297ff"/>
    <x v="4"/>
    <s v="https://www.linkedin.com/company/untangleai/"/>
    <x v="0"/>
  </r>
  <r>
    <n v="198"/>
    <d v="2018-08-06T00:00:00"/>
    <x v="0"/>
    <x v="4"/>
    <d v="2018-08-08T00:00:00"/>
    <s v="Aug"/>
    <x v="6"/>
    <x v="193"/>
    <x v="10"/>
    <m/>
    <s v="Mr"/>
    <s v="Dr Alan Chow"/>
    <m/>
    <s v="alanchow@focusc.com"/>
    <m/>
    <m/>
    <m/>
    <m/>
    <s v="Aug 6th - Linkedin request sent./Aug 8th - Followed up via Linkedin."/>
    <x v="0"/>
    <s v="https://www.techinasia.com/jobs/b98ce0a3-955d-4b4b-a248-d389442e02d1"/>
    <x v="4"/>
    <s v="https://www.linkedin.com/in/alanchowhk/"/>
    <x v="0"/>
  </r>
  <r>
    <n v="199"/>
    <d v="2018-08-06T00:00:00"/>
    <x v="0"/>
    <x v="4"/>
    <d v="2018-08-08T00:00:00"/>
    <s v="Aug"/>
    <x v="2"/>
    <x v="194"/>
    <x v="27"/>
    <s v="https://www.vibease.com/"/>
    <s v="Mr"/>
    <s v="Steven Kik"/>
    <m/>
    <s v="steven@vibease.com"/>
    <m/>
    <m/>
    <m/>
    <m/>
    <s v="Aug 6th - Cold email./Aug 7th - Not able to reach the right guy./Aug 8th - 1st followup email."/>
    <x v="0"/>
    <s v="https://www.techinasia.com/jobs/f06dd30a-12c9-4ae9-be93-04c60411dc57"/>
    <x v="4"/>
    <s v="https://www.linkedin.com/company/vibease-pte-ltd/"/>
    <x v="0"/>
  </r>
  <r>
    <n v="200"/>
    <d v="2018-08-06T00:00:00"/>
    <x v="0"/>
    <x v="4"/>
    <d v="2018-08-07T00:00:00"/>
    <s v="Aug"/>
    <x v="2"/>
    <x v="195"/>
    <x v="6"/>
    <s v="https://www.mybitwallet.com"/>
    <s v="Mr"/>
    <m/>
    <s v="Off - +65 6221 0111"/>
    <m/>
    <m/>
    <m/>
    <s v="info@mybitwallet.com"/>
    <m/>
    <s v="Aug 6th - Cold email./Aug 7th - Unable to reach the right guy."/>
    <x v="1"/>
    <s v="https://www.techinasia.com/jobs/05b5b682-9ff3-46f2-96be-a8496b3f1663"/>
    <x v="4"/>
    <s v="https://www.linkedin.com/company/mybitwallet/?originalSubdomain=sg"/>
    <x v="0"/>
  </r>
  <r>
    <n v="201"/>
    <d v="2018-08-06T00:00:00"/>
    <x v="0"/>
    <x v="4"/>
    <d v="2018-08-07T00:00:00"/>
    <s v="Aug"/>
    <x v="21"/>
    <x v="196"/>
    <x v="18"/>
    <s v="https://spreadsheep.io/"/>
    <s v="Mr"/>
    <s v="Thomas BROSSET"/>
    <s v="Off - +33 1 72 77 00 42"/>
    <s v="Thomas.BROSSET@spreadsheep.io"/>
    <m/>
    <m/>
    <s v="contact@spreadsheep.io"/>
    <m/>
    <s v="Aug 6th - Cold email./Aug 7th - Spoke with Thomas - Not interested in offshore development."/>
    <x v="1"/>
    <s v="https://www.f6s.com/jobs/37634/spreadsheep/cto-team-builder-and-expert-in-cqrs"/>
    <x v="6"/>
    <s v="https://www.linkedin.com/company/spreadsheep/"/>
    <x v="1"/>
  </r>
  <r>
    <n v="202"/>
    <d v="2018-08-06T00:00:00"/>
    <x v="0"/>
    <x v="4"/>
    <d v="2018-08-06T00:00:00"/>
    <s v="Aug"/>
    <x v="35"/>
    <x v="197"/>
    <x v="32"/>
    <s v="https://www.rendermusic.io/"/>
    <s v="Mr"/>
    <s v="Anthony Reese Schneider"/>
    <s v="Off - + (513) 652 - 5315"/>
    <s v="anthonyschneider111@gmail.com"/>
    <m/>
    <m/>
    <m/>
    <s v="http://www.anthonyrschneider.com"/>
    <s v="Aug 6th - Cold email."/>
    <x v="0"/>
    <s v="https://www.f6s.com/jobs/37620/rendermusicinc/senior-ios-developer"/>
    <x v="6"/>
    <s v="https://www.linkedin.com/company/rendermusic/"/>
    <x v="0"/>
  </r>
  <r>
    <n v="203"/>
    <d v="2018-08-06T00:00:00"/>
    <x v="0"/>
    <x v="4"/>
    <d v="2018-08-07T00:00:00"/>
    <s v="Aug"/>
    <x v="13"/>
    <x v="198"/>
    <x v="26"/>
    <s v="https://www.kotacreative.co.uk"/>
    <s v="Mr"/>
    <s v="Jonathan Bradford"/>
    <s v="Off - +44 0207 729 3905 "/>
    <m/>
    <m/>
    <m/>
    <s v="hello@kotacreative.co.uk"/>
    <m/>
    <s v="Aug 6th - Linkedin request sent./Aug 7th - Spk with Jonathan - Looking for London devs."/>
    <x v="1"/>
    <s v="https://remote.co/job/wordpress-javascript-wizard-for-creative-digital-agency/"/>
    <x v="8"/>
    <s v="https://www.linkedin.com/company/kota-creative/"/>
    <x v="0"/>
  </r>
  <r>
    <n v="204"/>
    <d v="2018-08-07T00:00:00"/>
    <x v="0"/>
    <x v="4"/>
    <d v="2018-08-09T00:00:00"/>
    <s v="Aug"/>
    <x v="0"/>
    <x v="199"/>
    <x v="46"/>
    <s v="https://kryptopos.com/"/>
    <s v="Mr"/>
    <s v="Gavin Gan"/>
    <m/>
    <s v="Gavin@kryptopos.com"/>
    <m/>
    <m/>
    <m/>
    <m/>
    <s v="Aug 7th - Cold email./Aug 8th - 1st followup email./Aug 9th - Gavin responded - not interested at the moment."/>
    <x v="1"/>
    <s v="http://startupjobs.asia/job/39589-web-backend-developer-php-it-kryptopos-malaysia"/>
    <x v="3"/>
    <s v="https://www.linkedin.com/company/kryptopos/"/>
    <x v="1"/>
  </r>
  <r>
    <n v="205"/>
    <d v="2018-08-07T00:00:00"/>
    <x v="0"/>
    <x v="4"/>
    <d v="2018-08-07T00:00:00"/>
    <s v="Aug"/>
    <x v="36"/>
    <x v="200"/>
    <x v="54"/>
    <s v="http://fcdacameroon.org/"/>
    <s v="Mr"/>
    <s v="Etienne Ayuk"/>
    <s v="Off - +237 6 70 58 62 68"/>
    <m/>
    <m/>
    <m/>
    <s v="info@fcdacameroon.org"/>
    <m/>
    <s v="Aug 7th - Not able to connect - Cold email - Chatted via Linkedin - Shared the requirement - Call setted up tomorrow @ 2.30PM IST."/>
    <x v="3"/>
    <s v="https://www.f6s.com/jobs/37640/foundationforcommunitydevelopment/mobile-app-developer"/>
    <x v="6"/>
    <s v="https://www.linkedin.com/in/etienne-ayuk-946626143/"/>
    <x v="0"/>
  </r>
  <r>
    <n v="206"/>
    <d v="2018-08-07T00:00:00"/>
    <x v="0"/>
    <x v="4"/>
    <d v="2018-08-08T00:00:00"/>
    <s v="Aug"/>
    <x v="37"/>
    <x v="201"/>
    <x v="11"/>
    <s v="https://www.doorsvision.com/"/>
    <s v="Mr"/>
    <s v="Hadi Chakir Mardini"/>
    <s v="M - +971555523237 / Off - +97145013990"/>
    <m/>
    <m/>
    <m/>
    <m/>
    <m/>
    <s v="Aug 7th - No answer -  Linkedin request sent./Aug 8th - No answer - Followed up via Linkedin."/>
    <x v="0"/>
    <s v="https://www.f6s.com/jobs/37638/doorsvision/developer"/>
    <x v="6"/>
    <s v="https://www.linkedin.com/company/doorsvision/"/>
    <x v="1"/>
  </r>
  <r>
    <n v="207"/>
    <d v="2018-08-07T00:00:00"/>
    <x v="0"/>
    <x v="4"/>
    <d v="2018-08-09T00:00:00"/>
    <s v="Aug"/>
    <x v="21"/>
    <x v="202"/>
    <x v="55"/>
    <s v="http://www.styckr.rocks/"/>
    <s v="Mr"/>
    <s v="Thomas Fayon"/>
    <m/>
    <s v="thomas.fayon@styckr.io / thomas@styckr.io"/>
    <m/>
    <m/>
    <s v="hello@styckr.io"/>
    <m/>
    <s v="Aug 7th - Cold email./Aug 9th - 1st followup email."/>
    <x v="0"/>
    <s v="https://www.f6s.com/jobs/37628/styckr/firmware-developper"/>
    <x v="6"/>
    <s v="https://www.linkedin.com/company/styckr/"/>
    <x v="0"/>
  </r>
  <r>
    <n v="208"/>
    <d v="2018-08-07T00:00:00"/>
    <x v="0"/>
    <x v="4"/>
    <d v="2018-08-07T00:00:00"/>
    <s v="Aug"/>
    <x v="16"/>
    <x v="203"/>
    <x v="56"/>
    <m/>
    <s v="Mr"/>
    <s v="Andre Miranda"/>
    <m/>
    <m/>
    <m/>
    <m/>
    <m/>
    <m/>
    <s v="Aug 7th - Linkedin request sent."/>
    <x v="0"/>
    <s v="https://www.f6s.com/jobs/37605/musiverse/chief-technology-officer"/>
    <x v="6"/>
    <s v="https://www.linkedin.com/in/andr%C3%A9-miranda-b096a487/"/>
    <x v="0"/>
  </r>
  <r>
    <n v="209"/>
    <d v="2018-08-07T00:00:00"/>
    <x v="0"/>
    <x v="4"/>
    <d v="2018-08-09T00:00:00"/>
    <s v="Aug"/>
    <x v="24"/>
    <x v="204"/>
    <x v="24"/>
    <s v="https://www.bellamaterna.com.br/"/>
    <s v="Mr"/>
    <s v="Ricardo Franco"/>
    <s v="Off - +55 11985498413"/>
    <s v="Ricardo@bellamaterna.com.br"/>
    <m/>
    <m/>
    <s v="francoricardo484@gmail.com"/>
    <m/>
    <s v="Aug 7th - Cold email."/>
    <x v="0"/>
    <s v="https://www.f6s.com/jobs/37599/bellamaterna1/desenvolvedor-front-end-react"/>
    <x v="6"/>
    <s v="https://www.linkedin.com/company/bellamaterna-brasil/"/>
    <x v="0"/>
  </r>
  <r>
    <n v="210"/>
    <d v="2018-08-07T00:00:00"/>
    <x v="0"/>
    <x v="4"/>
    <d v="2018-08-09T00:00:00"/>
    <s v="Aug"/>
    <x v="38"/>
    <x v="205"/>
    <x v="13"/>
    <s v="http://www.ilao.co/"/>
    <s v="Mr"/>
    <s v="Julian Gumenita"/>
    <m/>
    <s v="Julian@ilao.co"/>
    <m/>
    <m/>
    <m/>
    <m/>
    <s v="Aug 7th - Cold email./Aug 9th - 1st followup email."/>
    <x v="0"/>
    <s v="https://www.f6s.com/jobs/37593/ilao/developer"/>
    <x v="6"/>
    <s v="https://www.linkedin.com/company/ilao/"/>
    <x v="0"/>
  </r>
  <r>
    <n v="211"/>
    <d v="2018-08-07T00:00:00"/>
    <x v="0"/>
    <x v="4"/>
    <d v="2018-08-09T00:00:00"/>
    <s v="Aug"/>
    <x v="39"/>
    <x v="206"/>
    <x v="57"/>
    <s v="https://neverfiat.com/"/>
    <s v="Mr"/>
    <s v="Yishay Harel"/>
    <m/>
    <s v="Yishay@neverfiat.com"/>
    <m/>
    <s v="yishayrl@gmail.com"/>
    <s v="support@neverfiat.com"/>
    <m/>
    <s v="Aug 7th - Cold email./Aug 9th - 1st followup email."/>
    <x v="0"/>
    <s v="https://www.f6s.com/jobs/37579/neverfiat/cto"/>
    <x v="6"/>
    <s v="https://www.linkedin.com/in/yishayrl/"/>
    <x v="0"/>
  </r>
  <r>
    <n v="212"/>
    <d v="2018-08-07T00:00:00"/>
    <x v="0"/>
    <x v="4"/>
    <d v="2018-08-10T00:00:00"/>
    <s v="Aug"/>
    <x v="5"/>
    <x v="207"/>
    <x v="37"/>
    <s v="https://onefid.com/"/>
    <s v="Mr"/>
    <s v="Timo Marks"/>
    <s v="Off - +49 (0) 221 - 9581 7441"/>
    <s v="Timo.Marks@onefid.com / Timo@onefid.com"/>
    <m/>
    <m/>
    <m/>
    <m/>
    <s v="Aug 7th - No answer -  Cold email./Aug 8th - No answer - 1st followup email./Aug 10th - No answer."/>
    <x v="0"/>
    <s v="https://www.f6s.com/jobs/37578/onefidgmbh1/frontend-developer"/>
    <x v="6"/>
    <s v="https://www.linkedin.com/company/onefid/"/>
    <x v="1"/>
  </r>
  <r>
    <n v="213"/>
    <d v="2018-08-07T00:00:00"/>
    <x v="0"/>
    <x v="4"/>
    <d v="2018-08-09T00:00:00"/>
    <s v="Aug"/>
    <x v="16"/>
    <x v="208"/>
    <x v="5"/>
    <s v="https://koobby.com/"/>
    <s v="Mr"/>
    <s v="Cristiano Viegas"/>
    <m/>
    <s v="Cristiano.Viegas@koobby.com / Cristiano@koobby.com"/>
    <m/>
    <m/>
    <m/>
    <m/>
    <s v="Aug 7th - No answer -  Cold email./Aug 9th - 1st followup email."/>
    <x v="0"/>
    <s v="https://www.f6s.com/jobs/37555/koobby-fitnessapp/co-founder-cto"/>
    <x v="6"/>
    <s v="https://www.linkedin.com/in/cristianoviegas/"/>
    <x v="1"/>
  </r>
  <r>
    <n v="214"/>
    <d v="2018-08-07T00:00:00"/>
    <x v="0"/>
    <x v="4"/>
    <d v="2018-08-07T00:00:00"/>
    <s v="Aug"/>
    <x v="13"/>
    <x v="209"/>
    <x v="6"/>
    <s v="https://www.aptap.co.uk/"/>
    <s v="Mr"/>
    <s v="Will Billingsley"/>
    <m/>
    <s v="w.billingsley@aptap.co.uk"/>
    <m/>
    <m/>
    <m/>
    <m/>
    <s v="Aug 7th - Cold email - Will responded - another team is working on the product."/>
    <x v="2"/>
    <s v="https://www.f6s.com/jobs/37562/aptapltd/tech-lead"/>
    <x v="6"/>
    <s v="https://www.linkedin.com/company/aptap-ltd/"/>
    <x v="0"/>
  </r>
  <r>
    <n v="215"/>
    <d v="2018-08-07T00:00:00"/>
    <x v="0"/>
    <x v="4"/>
    <d v="2018-08-09T00:00:00"/>
    <s v="Aug"/>
    <x v="8"/>
    <x v="210"/>
    <x v="18"/>
    <s v="http://www.gilytics.com"/>
    <s v="Mr"/>
    <s v="Stefano Grassi"/>
    <s v="Off - + (41) 762754760"/>
    <s v="Stefano@gilytics.com / Stefano.Grassi@gilytics.com"/>
    <m/>
    <m/>
    <s v="info@gilytics.com"/>
    <m/>
    <s v="Aug 7th - No answer - Cold email./Aug 9th - No answer - 1st followup email."/>
    <x v="0"/>
    <s v="https://www.f6s.com/jobs/37553/gilytics/software-engineer-cto"/>
    <x v="6"/>
    <s v="https://www.linkedin.com/company/gilytics/"/>
    <x v="1"/>
  </r>
  <r>
    <n v="216"/>
    <d v="2018-08-07T00:00:00"/>
    <x v="0"/>
    <x v="4"/>
    <d v="2018-08-07T00:00:00"/>
    <s v="Aug"/>
    <x v="40"/>
    <x v="211"/>
    <x v="6"/>
    <s v="https://www.ninjamoba.com/"/>
    <s v="Mr"/>
    <s v="Bryan Ogden"/>
    <m/>
    <m/>
    <m/>
    <m/>
    <m/>
    <m/>
    <s v="Aug 7th - Linkedin request sent - chatted via Linkedin - not interested."/>
    <x v="1"/>
    <s v="https://www.f6s.com/jobs/37550/ninjamoba/cto-co-founder"/>
    <x v="6"/>
    <s v="https://www.linkedin.com/in/bryanogden1/"/>
    <x v="1"/>
  </r>
  <r>
    <n v="217"/>
    <d v="2018-08-07T00:00:00"/>
    <x v="0"/>
    <x v="4"/>
    <d v="2018-08-09T00:00:00"/>
    <s v="Aug"/>
    <x v="5"/>
    <x v="212"/>
    <x v="11"/>
    <s v="http://qvsta.com/"/>
    <s v="Mr"/>
    <s v="Ludwig Henne"/>
    <m/>
    <s v="ludwig@qvsta.com"/>
    <m/>
    <m/>
    <m/>
    <m/>
    <s v="Aug 7th - Cold email./Aug 9th - 1st followup email."/>
    <x v="0"/>
    <s v="https://www.f6s.com/jobs/37529/qvsta/frontend-developer"/>
    <x v="6"/>
    <s v="https://www.linkedin.com/company/qvsta/"/>
    <x v="0"/>
  </r>
  <r>
    <n v="218"/>
    <d v="2018-08-07T00:00:00"/>
    <x v="0"/>
    <x v="4"/>
    <d v="2018-08-09T00:00:00"/>
    <s v="Aug"/>
    <x v="13"/>
    <x v="213"/>
    <x v="47"/>
    <s v="http://tg0.co.uk/"/>
    <s v="Mr"/>
    <s v="Ming Kong"/>
    <m/>
    <s v="Ming@tg0.co.uk"/>
    <m/>
    <m/>
    <s v="info@tg0.co.uk"/>
    <m/>
    <s v="Aug 7th - Cold email./Aug 9th - 1st followup email."/>
    <x v="0"/>
    <s v="https://www.f6s.com/jobs/37470/tg0/algorithmic-software-engineer-fulltime"/>
    <x v="6"/>
    <s v="https://www.linkedin.com/in/kongming/"/>
    <x v="0"/>
  </r>
  <r>
    <n v="219"/>
    <d v="2018-08-07T00:00:00"/>
    <x v="0"/>
    <x v="4"/>
    <d v="2018-08-09T00:00:00"/>
    <s v="Aug"/>
    <x v="23"/>
    <x v="214"/>
    <x v="58"/>
    <s v="https://b2book.net"/>
    <s v="Mr"/>
    <s v="Fabrizio Bianchi"/>
    <m/>
    <s v="FabrizioBianchi@b2book.net"/>
    <m/>
    <m/>
    <s v="info@b2book.net"/>
    <m/>
    <s v="Aug 7th - Cold email./Aug 9th - 1st followup email."/>
    <x v="0"/>
    <s v="https://www.f6s.com/jobs/37465/b2book.net/full-stack-developer"/>
    <x v="6"/>
    <s v="https://www.linkedin.com/company/b2book.net/"/>
    <x v="0"/>
  </r>
  <r>
    <n v="220"/>
    <d v="2018-08-07T00:00:00"/>
    <x v="0"/>
    <x v="4"/>
    <d v="2018-08-09T00:00:00"/>
    <s v="Aug"/>
    <x v="15"/>
    <x v="215"/>
    <x v="18"/>
    <s v="http://www.quanode.com"/>
    <s v="Mr"/>
    <s v="Ahmed Ragab"/>
    <s v="Off - +20 122 291 3989(call charged)"/>
    <s v="Ahmed.Ragab@quanode.com / Ahmed@quanode.com"/>
    <m/>
    <m/>
    <s v="info@quanode.com"/>
    <m/>
    <s v="Aug 7th - No answer - Cold email./Aug 9th - No answer - 1st followup email."/>
    <x v="0"/>
    <s v="https://www.f6s.com/jobs/37461/quanode1/senior-full-stack-developer"/>
    <x v="6"/>
    <s v="https://www.linkedin.com/company/quanode/"/>
    <x v="1"/>
  </r>
  <r>
    <n v="221"/>
    <d v="2018-08-07T00:00:00"/>
    <x v="0"/>
    <x v="4"/>
    <d v="2018-08-09T00:00:00"/>
    <s v="Aug"/>
    <x v="9"/>
    <x v="216"/>
    <x v="44"/>
    <s v="https://www.voomenu.com/"/>
    <s v="Mr"/>
    <s v="Jacqueline Tremblay"/>
    <m/>
    <s v="Jacqueline@voomenu.com"/>
    <m/>
    <m/>
    <m/>
    <m/>
    <s v="Aug 7th - Cold email./Aug 9th - Followedup via Linkedin."/>
    <x v="0"/>
    <s v="https://www.f6s.com/jobs/37457/voomenu/junior-front-end-web-developer"/>
    <x v="6"/>
    <s v="https://www.linkedin.com/company/voomenu/?originalSubdomain=ca"/>
    <x v="0"/>
  </r>
  <r>
    <n v="222"/>
    <d v="2018-08-07T00:00:00"/>
    <x v="0"/>
    <x v="4"/>
    <d v="2018-08-10T00:00:00"/>
    <s v="Aug"/>
    <x v="25"/>
    <x v="217"/>
    <x v="18"/>
    <s v="http://knowlers.com/"/>
    <s v="Mr"/>
    <s v="George Manousakis"/>
    <m/>
    <s v="manousakiscivil@gmail.com"/>
    <m/>
    <m/>
    <s v="info@knowlers.com"/>
    <m/>
    <s v="Aug 7th - Cold email./Aug 10th - 1st followup email."/>
    <x v="0"/>
    <s v="https://www.f6s.com/jobs/37440/knowlers/technical-co-founder"/>
    <x v="6"/>
    <s v="https://www.linkedin.com/company/knowlers/"/>
    <x v="0"/>
  </r>
  <r>
    <n v="223"/>
    <d v="2018-08-08T00:00:00"/>
    <x v="0"/>
    <x v="4"/>
    <d v="2018-08-10T00:00:00"/>
    <s v="Aug"/>
    <x v="0"/>
    <x v="218"/>
    <x v="46"/>
    <s v="http://seekadegree.com/"/>
    <s v="Mr"/>
    <s v="Ado Dedovic"/>
    <s v="Off - +60 3 7497 2166"/>
    <s v="ado@seekadegree.com"/>
    <m/>
    <m/>
    <m/>
    <m/>
    <s v="Aug 8th - Cold email./Aug 9th - Ado is in interview - spk with Henrik - call tomorrow./Aug 10th - Answered &amp; Disconnected."/>
    <x v="3"/>
    <s v="http://startupjobs.asia/job/39833-it-web-design-app-developer-internship-it-seeka-technology-malaysia"/>
    <x v="3"/>
    <s v="https://www.linkedin.com/in/ado-dedovic/"/>
    <x v="0"/>
  </r>
  <r>
    <n v="224"/>
    <d v="2018-08-08T00:00:00"/>
    <x v="0"/>
    <x v="4"/>
    <d v="2018-08-09T00:00:00"/>
    <s v="Aug"/>
    <x v="38"/>
    <x v="219"/>
    <x v="46"/>
    <s v="https://www.tazesef.com/"/>
    <s v="Mr"/>
    <s v="Ahmet Akkaya"/>
    <s v="Off -+90 0216 574 5 574(call charged)"/>
    <s v="Ahmet@tazesef.com"/>
    <m/>
    <m/>
    <s v="destek@tazesef.com"/>
    <m/>
    <s v="Aug 8th - Cold email./Aug 9th - no answer - 1st followup email."/>
    <x v="0"/>
    <s v="https://www.f6s.com/jobs/37429/tazesef/senior-php-developer"/>
    <x v="6"/>
    <s v="https://www.linkedin.com/company/tazesef/"/>
    <x v="1"/>
  </r>
  <r>
    <n v="225"/>
    <d v="2018-08-08T00:00:00"/>
    <x v="0"/>
    <x v="4"/>
    <d v="2018-08-09T00:00:00"/>
    <s v="Aug"/>
    <x v="38"/>
    <x v="220"/>
    <x v="46"/>
    <s v="http://ottoo.com/"/>
    <s v="Mr"/>
    <s v="Murat Aras"/>
    <s v="Off - +90 530 116 4009(call charged)"/>
    <s v="Murat@ottoo.com"/>
    <m/>
    <m/>
    <s v="info@ottoo.co"/>
    <m/>
    <s v="Aug 8th - Cold email./Aug 9th - no answer - 1st followup email."/>
    <x v="0"/>
    <s v="https://www.f6s.com/jobs/37413/ottoo/full-stack-developer"/>
    <x v="6"/>
    <s v="https://www.linkedin.com/company/ottoo/"/>
    <x v="1"/>
  </r>
  <r>
    <n v="226"/>
    <d v="2018-08-08T00:00:00"/>
    <x v="0"/>
    <x v="4"/>
    <d v="2018-08-08T00:00:00"/>
    <s v="Aug"/>
    <x v="16"/>
    <x v="221"/>
    <x v="10"/>
    <m/>
    <s v="Mr"/>
    <s v="Goncalo Faria Nunes"/>
    <m/>
    <m/>
    <m/>
    <m/>
    <m/>
    <m/>
    <s v="Aug 8th - Linkedin request sent."/>
    <x v="0"/>
    <s v="https://www.f6s.com/jobs/37405/riceappy/back-end-developer"/>
    <x v="6"/>
    <s v="https://www.linkedin.com/in/gfarianunes/"/>
    <x v="0"/>
  </r>
  <r>
    <n v="227"/>
    <d v="2018-08-08T00:00:00"/>
    <x v="0"/>
    <x v="4"/>
    <d v="2018-08-10T00:00:00"/>
    <s v="Aug"/>
    <x v="13"/>
    <x v="222"/>
    <x v="39"/>
    <s v="http://www.adtonos.com"/>
    <s v="Mr"/>
    <s v="Michal Marcinik"/>
    <m/>
    <s v="Michal.Marcinik@adtonos.com / Michal@adtonos.com"/>
    <m/>
    <m/>
    <s v="gaga@adtonos.com"/>
    <m/>
    <s v="Aug 8th - Cold email./Aug 10th - 1st followup email."/>
    <x v="0"/>
    <s v="https://www.f6s.com/jobs/37396/radionet.me/head-of-development"/>
    <x v="6"/>
    <s v="https://www.linkedin.com/company/radio-net-media/"/>
    <x v="0"/>
  </r>
  <r>
    <n v="228"/>
    <d v="2018-08-08T00:00:00"/>
    <x v="0"/>
    <x v="4"/>
    <d v="2018-08-08T00:00:00"/>
    <s v="Aug"/>
    <x v="41"/>
    <x v="223"/>
    <x v="59"/>
    <s v="https://consult.law"/>
    <s v="Mr"/>
    <s v="Nikolay Mladenov"/>
    <s v="Off - +359 0898 55 22 59."/>
    <s v="Nikolay@consult.law"/>
    <m/>
    <m/>
    <m/>
    <m/>
    <s v="Aug 8th - Cold email."/>
    <x v="0"/>
    <s v="https://www.f6s.com/jobs/37381/thejuristcompany/cto"/>
    <x v="6"/>
    <s v="https://www.linkedin.com/company/consult.law/"/>
    <x v="0"/>
  </r>
  <r>
    <n v="229"/>
    <d v="2018-08-08T00:00:00"/>
    <x v="0"/>
    <x v="4"/>
    <d v="2018-08-10T00:00:00"/>
    <s v="Aug"/>
    <x v="18"/>
    <x v="224"/>
    <x v="13"/>
    <s v="https://packitup.dk/"/>
    <s v="Mr"/>
    <s v="Amalie Kjelstrup"/>
    <m/>
    <s v="amalie@packitup.dk"/>
    <m/>
    <m/>
    <m/>
    <m/>
    <s v="Aug 8th - Cold email./Aug 10th - 1st followup email."/>
    <x v="0"/>
    <s v="https://angel.co/packitup"/>
    <x v="7"/>
    <s v="https://www.linkedin.com/company/packitup-ivs/"/>
    <x v="0"/>
  </r>
  <r>
    <n v="230"/>
    <d v="2018-08-08T00:00:00"/>
    <x v="0"/>
    <x v="4"/>
    <d v="2018-08-10T00:00:00"/>
    <s v="Aug"/>
    <x v="0"/>
    <x v="225"/>
    <x v="46"/>
    <s v="http://www.shiroiboushi.net/"/>
    <s v="Mr"/>
    <s v="Amin Idris"/>
    <s v="M - +600199232473 Off - +603 - 8689 - 0581 "/>
    <s v="amin@shiroiboushi.net"/>
    <m/>
    <m/>
    <m/>
    <m/>
    <s v="Aug 8th - Cold email./Aug 9th - Called Amin office got his Mob no - No answer in mobile - 1st Followup email./Aug 10th - Amin not available."/>
    <x v="2"/>
    <s v="https://angel.co/shiroi-boushi/jobs/406975-front-end-developer"/>
    <x v="7"/>
    <s v="https://www.linkedin.com/in/amin-idris-664853b1/"/>
    <x v="1"/>
  </r>
  <r>
    <n v="231"/>
    <d v="2018-08-09T00:00:00"/>
    <x v="0"/>
    <x v="4"/>
    <d v="2018-08-09T00:00:00"/>
    <s v="Aug"/>
    <x v="20"/>
    <x v="226"/>
    <x v="46"/>
    <s v="https://pirsonal.com"/>
    <s v="Mr"/>
    <s v="Josías De La Espada Sempris"/>
    <m/>
    <m/>
    <m/>
    <m/>
    <m/>
    <m/>
    <s v="Aug 9th - Linkedin Request sent."/>
    <x v="0"/>
    <s v="https://www.f6s.com/jobs/37698/pirsonal/senior-fullstack-developer"/>
    <x v="6"/>
    <s v="https://www.linkedin.com/company/pirsonal/"/>
    <x v="0"/>
  </r>
  <r>
    <n v="232"/>
    <d v="2018-08-09T00:00:00"/>
    <x v="0"/>
    <x v="4"/>
    <d v="2018-08-09T00:00:00"/>
    <s v="Aug"/>
    <x v="21"/>
    <x v="227"/>
    <x v="54"/>
    <s v="http://www.vingineers.com"/>
    <s v="Mr"/>
    <s v="Alan Ames"/>
    <m/>
    <s v="alan@vingineers.com / alan.ames@vingineers.com"/>
    <m/>
    <m/>
    <s v="contact@vingineers.com"/>
    <m/>
    <s v="Aug 9th - Cold email - followed via Linkedin."/>
    <x v="2"/>
    <s v="https://www.f6s.com/jobs/37691/vingineers/co-founder"/>
    <x v="6"/>
    <s v="https://www.linkedin.com/in/alanames/"/>
    <x v="0"/>
  </r>
  <r>
    <n v="233"/>
    <d v="2018-08-09T00:00:00"/>
    <x v="0"/>
    <x v="4"/>
    <d v="2018-08-10T00:00:00"/>
    <s v="Aug"/>
    <x v="23"/>
    <x v="228"/>
    <x v="6"/>
    <s v="http://www.splittypay.it/"/>
    <s v="Mr"/>
    <s v="Alberto Porzio"/>
    <m/>
    <m/>
    <m/>
    <m/>
    <s v="info@splittypay.it"/>
    <m/>
    <s v="Aug 9th - Cold email./Aug 10th - 1st followup email."/>
    <x v="0"/>
    <s v="https://www.f6s.com/jobs/37685/splittypay/backend-developer"/>
    <x v="6"/>
    <s v="https://www.linkedin.com/in/alberto-porzio-999302a6/"/>
    <x v="0"/>
  </r>
  <r>
    <n v="234"/>
    <d v="2018-08-09T00:00:00"/>
    <x v="0"/>
    <x v="4"/>
    <d v="2018-08-09T00:00:00"/>
    <s v="Aug"/>
    <x v="13"/>
    <x v="229"/>
    <x v="25"/>
    <s v="https://airplaytv.com"/>
    <s v="Mr"/>
    <s v="Femi Oni"/>
    <m/>
    <m/>
    <m/>
    <m/>
    <m/>
    <m/>
    <s v="Aug 9th - Linkedin Request sent - Chatted via Linkedin."/>
    <x v="2"/>
    <s v="https://angel.co/airplay-tv"/>
    <x v="7"/>
    <s v="https://www.linkedin.com/company/airplay-tv-ltd/"/>
    <x v="0"/>
  </r>
  <r>
    <n v="235"/>
    <d v="2018-08-09T00:00:00"/>
    <x v="0"/>
    <x v="4"/>
    <d v="2018-08-09T00:00:00"/>
    <s v="Aug"/>
    <x v="20"/>
    <x v="230"/>
    <x v="46"/>
    <s v="https://my1min.com/"/>
    <s v="Mr"/>
    <s v="Thomas A. Lillebo"/>
    <m/>
    <s v="Thomas.lillebo@my1min.com / Thomas@my1min.com"/>
    <m/>
    <m/>
    <s v="hello@my1min.com"/>
    <m/>
    <s v="Aug 9th - Cold email."/>
    <x v="0"/>
    <s v="https://angel.co/my1min"/>
    <x v="7"/>
    <s v="https://www.linkedin.com/company/technology-with-a-heart-as/"/>
    <x v="0"/>
  </r>
  <r>
    <n v="236"/>
    <d v="2018-08-09T00:00:00"/>
    <x v="0"/>
    <x v="4"/>
    <d v="2018-08-10T00:00:00"/>
    <s v="Aug"/>
    <x v="13"/>
    <x v="231"/>
    <x v="22"/>
    <s v="http://www.memento.media/"/>
    <s v="Mr"/>
    <s v="Olga Kravchenko"/>
    <s v="Off - +44 7593 587 828(call charged)"/>
    <s v="Olga@memento.media"/>
    <m/>
    <m/>
    <s v="info@memento.media"/>
    <m/>
    <s v="Aug 9th - Cold email./Aug 10th - No answer - 1st followup email."/>
    <x v="0"/>
    <s v="https://angel.co/memento-4"/>
    <x v="7"/>
    <s v="https://www.linkedin.com/company/memento-vr/"/>
    <x v="1"/>
  </r>
  <r>
    <n v="237"/>
    <d v="2018-08-09T00:00:00"/>
    <x v="0"/>
    <x v="4"/>
    <d v="2018-09-13T00:00:00"/>
    <s v="Sep"/>
    <x v="9"/>
    <x v="232"/>
    <x v="60"/>
    <m/>
    <s v="Mr"/>
    <s v="Jean-Martin Gauthier"/>
    <m/>
    <s v="idpnneedonethanks@gmail.com"/>
    <m/>
    <m/>
    <m/>
    <m/>
    <s v="Aug 9th - Linkedin Request sent."/>
    <x v="3"/>
    <s v="https://angel.co/the-other-dimension-52"/>
    <x v="7"/>
    <s v="https://www.linkedin.com/in/jean-martin-jm-gauthier-81a3bb15a/"/>
    <x v="0"/>
  </r>
  <r>
    <n v="238"/>
    <d v="2018-08-09T00:00:00"/>
    <x v="0"/>
    <x v="4"/>
    <d v="2018-08-09T00:00:00"/>
    <s v="Aug"/>
    <x v="9"/>
    <x v="233"/>
    <x v="11"/>
    <s v="http://www.avenue8.ca"/>
    <s v="Mr"/>
    <s v="Veronic Benoit"/>
    <m/>
    <s v="V.Benoit@avenue8.ca"/>
    <m/>
    <m/>
    <m/>
    <s v="https://www.linkedin.com/company/avenue8/"/>
    <s v="Aug 9th - Cold email."/>
    <x v="0"/>
    <s v="https://angel.co/avenue-8-1/jobs/408044-developpeur-front-end"/>
    <x v="7"/>
    <s v="https://www.linkedin.com/in/v%C3%A9ronic-benoit-53963628/"/>
    <x v="0"/>
  </r>
  <r>
    <n v="239"/>
    <d v="2018-08-09T00:00:00"/>
    <x v="0"/>
    <x v="4"/>
    <d v="2018-08-10T00:00:00"/>
    <s v="Aug"/>
    <x v="2"/>
    <x v="234"/>
    <x v="5"/>
    <s v="http://xtraplayar.com/"/>
    <s v="Mr"/>
    <s v="Marcel Isakowitz"/>
    <m/>
    <s v="Marcelisakowitz@aol.com"/>
    <m/>
    <s v="https://www.leadsports.com/mentor/isakowitz"/>
    <m/>
    <s v="http://www.marcelisakowitz.de/"/>
    <s v="Aug 9th - Linkedin Request sent - Chatted via Linkedin./Aug 10th - Marcel enquired about the partnership method."/>
    <x v="3"/>
    <s v="https://angel.co/xtra-playar/jobs/408981-ar-software-engineer-with-project-lead-skills"/>
    <x v="7"/>
    <s v="https://www.linkedin.com/in/marcelisakowitz/"/>
    <x v="0"/>
  </r>
  <r>
    <n v="240"/>
    <d v="2018-08-09T00:00:00"/>
    <x v="0"/>
    <x v="4"/>
    <d v="2018-08-10T00:00:00"/>
    <s v="Aug"/>
    <x v="6"/>
    <x v="235"/>
    <x v="46"/>
    <s v="https://iwoop.com/"/>
    <s v="Mr"/>
    <s v="Djema Abliakimova"/>
    <s v="Off - +852 5803 6834"/>
    <s v="djema@iwoop.com"/>
    <m/>
    <m/>
    <s v="info@iwoop.com"/>
    <m/>
    <s v="Aug 9th - Cold email./Aug 10th - No answer - 1st followup email."/>
    <x v="0"/>
    <s v="https://angel.co/iwoop"/>
    <x v="7"/>
    <s v="https://www.linkedin.com/company/iwoop-ltd/"/>
    <x v="1"/>
  </r>
  <r>
    <n v="241"/>
    <d v="2018-08-10T00:00:00"/>
    <x v="0"/>
    <x v="4"/>
    <d v="2018-08-10T00:00:00"/>
    <s v="Aug"/>
    <x v="0"/>
    <x v="236"/>
    <x v="46"/>
    <s v="https://majagames.com"/>
    <s v="Ms"/>
    <s v="Angel G"/>
    <m/>
    <s v="angel_virgo_6583@hotmail.com"/>
    <m/>
    <m/>
    <m/>
    <m/>
    <s v="Aug 10th - Linkedin Request sent - Chatted via Linkedin - not interested In outsourcing."/>
    <x v="1"/>
    <s v="http://startupjobs.asia/job/39848-mobile-apps-developer-it-maja-solutions-sdn-bhd-malaysia"/>
    <x v="3"/>
    <s v="https://www.linkedin.com/company/majagames/"/>
    <x v="1"/>
  </r>
  <r>
    <n v="242"/>
    <d v="2018-08-10T00:00:00"/>
    <x v="0"/>
    <x v="4"/>
    <d v="2018-08-10T00:00:00"/>
    <s v="Aug"/>
    <x v="9"/>
    <x v="237"/>
    <x v="11"/>
    <s v="https://7c-labs.com/"/>
    <s v="Mr"/>
    <s v="Jesse Brito"/>
    <s v="Off -+1 (866) 350-7151"/>
    <s v="jessebrito@7c-labs.com"/>
    <m/>
    <m/>
    <s v="info@7c-labs.com"/>
    <m/>
    <s v="Aug 10th - Cold email."/>
    <x v="0"/>
    <s v="https://angel.co/7c-laboratories-1"/>
    <x v="7"/>
    <s v="https://www.linkedin.com/company/7c-laboratories/"/>
    <x v="0"/>
  </r>
  <r>
    <n v="243"/>
    <d v="2018-08-10T00:00:00"/>
    <x v="0"/>
    <x v="4"/>
    <d v="2018-08-10T00:00:00"/>
    <s v="Aug"/>
    <x v="9"/>
    <x v="238"/>
    <x v="20"/>
    <s v="https://www.gabbi.ai/"/>
    <s v="Mr"/>
    <s v="Roberto Moreno"/>
    <s v="Off - +1-855-224-2575"/>
    <s v="roberto@gabbi.ai"/>
    <m/>
    <m/>
    <m/>
    <m/>
    <s v="Aug 10th - Cold email."/>
    <x v="0"/>
    <s v="https://angel.co/gabbi-ai"/>
    <x v="7"/>
    <s v="https://www.linkedin.com/company/gabbi-ai/"/>
    <x v="0"/>
  </r>
  <r>
    <n v="244"/>
    <d v="2018-08-10T00:00:00"/>
    <x v="0"/>
    <x v="4"/>
    <d v="2018-08-10T00:00:00"/>
    <s v="Aug"/>
    <x v="19"/>
    <x v="239"/>
    <x v="46"/>
    <s v="https://www.innerspace.at"/>
    <s v="Mr"/>
    <s v="Sebastian Scheler"/>
    <s v="Off - +43 660 859 51 32"/>
    <s v="Sebastian.Scheler@innerspace.at"/>
    <m/>
    <m/>
    <s v="info@innerspace.at"/>
    <m/>
    <s v="Aug 10th - Cold email - Sebastien responded via mail - at the moment they want to hire the resource."/>
    <x v="2"/>
    <s v="https://angel.co/innerspace-trainings/jobs/405270-unity-developer"/>
    <x v="7"/>
    <s v="https://www.linkedin.com/company/innerspace.at/"/>
    <x v="0"/>
  </r>
  <r>
    <n v="245"/>
    <d v="2018-08-10T00:00:00"/>
    <x v="0"/>
    <x v="4"/>
    <d v="2018-08-16T00:00:00"/>
    <s v="Aug"/>
    <x v="13"/>
    <x v="240"/>
    <x v="46"/>
    <s v="https://www.robophysio.com"/>
    <s v="Mr"/>
    <s v="Chongsu Lee"/>
    <s v="Off - +44 (0)131 473 2333"/>
    <s v="Chongsu@robophysio.com"/>
    <m/>
    <s v="chongsu@paclamedical.com"/>
    <s v="info@paclamedical.com"/>
    <m/>
    <s v="Aug 10th - Cold email./Aug 16th - No answer - Followed via Linkedin."/>
    <x v="0"/>
    <s v="https://angel.co/pacla-medical-1"/>
    <x v="7"/>
    <s v="https://www.linkedin.com/in/chongsu-lee-3600772a/"/>
    <x v="1"/>
  </r>
  <r>
    <n v="246"/>
    <d v="2018-08-10T00:00:00"/>
    <x v="0"/>
    <x v="4"/>
    <d v="2018-08-10T00:00:00"/>
    <s v="Aug"/>
    <x v="13"/>
    <x v="241"/>
    <x v="61"/>
    <s v="https://subsec.ai/"/>
    <s v="Mr"/>
    <s v="Peter Timson"/>
    <m/>
    <s v="Peter.Timson@subsec.ai / Peter@subsec.ai"/>
    <m/>
    <m/>
    <m/>
    <m/>
    <s v="Aug 10th - Cold email."/>
    <x v="0"/>
    <s v="https://angel.co/subsec/jobs/407006-software-engineer-developer"/>
    <x v="7"/>
    <s v="https://www.linkedin.com/in/timson/detail/contact-info/"/>
    <x v="0"/>
  </r>
  <r>
    <n v="247"/>
    <d v="2018-08-10T00:00:00"/>
    <x v="0"/>
    <x v="4"/>
    <d v="2018-08-16T00:00:00"/>
    <s v="Aug"/>
    <x v="42"/>
    <x v="242"/>
    <x v="62"/>
    <s v="https://www.pestpulse.com"/>
    <s v="Mr"/>
    <s v="John O'Gara"/>
    <s v="Off - +353 1 513 7624"/>
    <s v="Brian@pestpulse.com"/>
    <m/>
    <m/>
    <s v="info@pestpulse.com"/>
    <m/>
    <s v="Aug 10th - Cold email./Aug 16th - No answer - 1st followup email."/>
    <x v="0"/>
    <s v="https://angel.co/pest-pulse/jobs/399843-software-engineer-fullstack"/>
    <x v="7"/>
    <s v="https://www.linkedin.com/company/pest-pulse/"/>
    <x v="1"/>
  </r>
  <r>
    <n v="248"/>
    <d v="2018-08-10T00:00:00"/>
    <x v="0"/>
    <x v="4"/>
    <d v="2018-08-10T00:00:00"/>
    <s v="Aug"/>
    <x v="21"/>
    <x v="243"/>
    <x v="13"/>
    <s v="http://www.crowdmap.io"/>
    <s v="Mr"/>
    <s v="Benjamin Mercier"/>
    <m/>
    <s v="Ben@crowdmap.io"/>
    <m/>
    <m/>
    <s v="contact@crowdmap.io"/>
    <m/>
    <s v="Aug 10th - Cold email."/>
    <x v="0"/>
    <s v="https://angel.co/crowdmap_io"/>
    <x v="7"/>
    <s v="https://www.linkedin.com/company/crowdmap/"/>
    <x v="0"/>
  </r>
  <r>
    <n v="249"/>
    <d v="2018-08-10T00:00:00"/>
    <x v="0"/>
    <x v="4"/>
    <d v="2018-08-10T00:00:00"/>
    <s v="Aug"/>
    <x v="13"/>
    <x v="244"/>
    <x v="61"/>
    <s v="http://wecudos.com/"/>
    <s v="Mr"/>
    <s v="Adam Read"/>
    <m/>
    <s v="Adam@wecudos.com"/>
    <m/>
    <m/>
    <s v="enquiries@wecudos.com"/>
    <m/>
    <s v="Aug 10th - Cold email."/>
    <x v="0"/>
    <s v="https://angel.co/wecudos-1/jobs/400491-chief-technology-officer"/>
    <x v="7"/>
    <s v="https://www.linkedin.com/in/dr-adam-read-03190455/"/>
    <x v="0"/>
  </r>
  <r>
    <n v="250"/>
    <d v="2018-08-10T00:00:00"/>
    <x v="0"/>
    <x v="4"/>
    <d v="2018-08-10T00:00:00"/>
    <s v="Aug"/>
    <x v="5"/>
    <x v="245"/>
    <x v="46"/>
    <s v="https://www.beez.world"/>
    <s v="Mr"/>
    <s v="Michael Nagler"/>
    <m/>
    <s v="Michael.Nagler@beez.world / Michael@beez.world"/>
    <m/>
    <m/>
    <s v="info@beez.world"/>
    <m/>
    <s v="Aug 10th - Cold email."/>
    <x v="0"/>
    <s v="https://angel.co/beezworld/jobs/403851-engineers-developer-designer"/>
    <x v="7"/>
    <s v="https://www.linkedin.com/in/michael-nagler-7353bb128/"/>
    <x v="0"/>
  </r>
  <r>
    <n v="251"/>
    <d v="2018-08-15T00:00:00"/>
    <x v="0"/>
    <x v="4"/>
    <d v="2018-08-15T00:00:00"/>
    <s v="Aug"/>
    <x v="0"/>
    <x v="246"/>
    <x v="16"/>
    <s v="https://postco.com.my/"/>
    <s v="Mr"/>
    <s v="Nicolas Chin"/>
    <m/>
    <s v="Nicolas@postco.com.my"/>
    <m/>
    <m/>
    <s v="info@postco.com.my"/>
    <m/>
    <s v="Aug 15th - Cold email."/>
    <x v="0"/>
    <s v="http://startupjobs.asia/job/39877-ui-ux-lead-ui-ux-postco-malaysia"/>
    <x v="3"/>
    <s v="https://www.linkedin.com/company/postco-my/"/>
    <x v="0"/>
  </r>
  <r>
    <n v="252"/>
    <d v="2018-08-15T00:00:00"/>
    <x v="0"/>
    <x v="4"/>
    <d v="2018-08-15T00:00:00"/>
    <s v="Aug"/>
    <x v="2"/>
    <x v="247"/>
    <x v="24"/>
    <s v="https://www.doctorxdentist.com/"/>
    <s v="Mr"/>
    <s v="Phoebe Kwan"/>
    <m/>
    <m/>
    <m/>
    <m/>
    <s v="admin@doctorxdentist.com"/>
    <m/>
    <s v="Aug 15th - Linkedin request sent."/>
    <x v="0"/>
    <s v="http://startupjobs.asia/job/39923-full-stack-lead-developer-familiar-with-javascript-and-mean-stack-knowledge-full-stack-developer-doctorxdentist-singapore"/>
    <x v="3"/>
    <s v="https://www.linkedin.com/company/doctorxdentist/"/>
    <x v="0"/>
  </r>
  <r>
    <n v="253"/>
    <d v="2018-08-15T00:00:00"/>
    <x v="0"/>
    <x v="4"/>
    <d v="2018-08-16T00:00:00"/>
    <s v="Aug"/>
    <x v="2"/>
    <x v="248"/>
    <x v="32"/>
    <s v="https://www.hapz.com/"/>
    <s v="Mr"/>
    <s v="Lai Xin Chu"/>
    <s v="Off - +65 6635 1369"/>
    <m/>
    <m/>
    <m/>
    <s v="hello@hapz.com"/>
    <m/>
    <s v="Aug 15th - Cold email./Aug 16th - Spoke with Lai - Looking for inhouse hire."/>
    <x v="1"/>
    <s v="http://startupjobs.asia/job/39861-tech-lead-it-hapz-singapore"/>
    <x v="3"/>
    <s v="https://www.linkedin.com/company/hapz/"/>
    <x v="2"/>
  </r>
  <r>
    <n v="254"/>
    <d v="2018-08-15T00:00:00"/>
    <x v="0"/>
    <x v="4"/>
    <d v="2018-08-16T00:00:00"/>
    <s v="Aug"/>
    <x v="2"/>
    <x v="249"/>
    <x v="6"/>
    <s v="http://heli-cap.com/"/>
    <s v="Mr"/>
    <s v="David Z Wang"/>
    <s v="Off - +65 9785 7433"/>
    <s v="Dzw@heli-cap.com"/>
    <m/>
    <m/>
    <s v="info@heli-cap.com"/>
    <m/>
    <s v="Aug 15th - Cold email./Aug 16th - David not available."/>
    <x v="0"/>
    <s v="https://www.techinasia.com/jobs/cc88fd6d-c381-407b-a223-0add6f35eae6"/>
    <x v="4"/>
    <s v="https://www.linkedin.com/company/heli-cap/"/>
    <x v="0"/>
  </r>
  <r>
    <n v="255"/>
    <d v="2018-08-15T00:00:00"/>
    <x v="0"/>
    <x v="4"/>
    <d v="2018-08-15T00:00:00"/>
    <s v="Aug"/>
    <x v="43"/>
    <x v="250"/>
    <x v="10"/>
    <m/>
    <s v="Mr"/>
    <s v="Moritz Kassner"/>
    <m/>
    <m/>
    <m/>
    <m/>
    <m/>
    <m/>
    <s v="Aug 15th - Linkedin request sent."/>
    <x v="0"/>
    <s v="https://www.techinasia.com/jobs/30d6fa5b-5239-4537-b82f-4b45242c4955"/>
    <x v="4"/>
    <s v="https://www.linkedin.com/in/moritz-kassner-9a470628/"/>
    <x v="0"/>
  </r>
  <r>
    <n v="256"/>
    <d v="2018-08-15T00:00:00"/>
    <x v="0"/>
    <x v="4"/>
    <d v="2018-08-16T00:00:00"/>
    <s v="Aug"/>
    <x v="38"/>
    <x v="251"/>
    <x v="18"/>
    <s v="https://www.contaxer.com"/>
    <s v="Mr"/>
    <s v="Hasan C. Orhan"/>
    <s v="M - +90 5323315220"/>
    <s v="Hasan@contaxer.com"/>
    <m/>
    <m/>
    <s v="hasancanorhan@gmail.com"/>
    <m/>
    <s v="Aug 15th - Cold email./Aug 16th - No answer - Followed via Linkedin - Connected in Skype - Conf call with Prabha -Discussed the PHP req."/>
    <x v="3"/>
    <s v="https://www.f6s.com/jobs/37806/contaxer/php-developer"/>
    <x v="6"/>
    <s v="https://www.linkedin.com/company/contaxer/"/>
    <x v="1"/>
  </r>
  <r>
    <n v="257"/>
    <d v="2018-08-15T00:00:00"/>
    <x v="0"/>
    <x v="4"/>
    <d v="2018-08-15T00:00:00"/>
    <s v="Aug"/>
    <x v="4"/>
    <x v="252"/>
    <x v="63"/>
    <m/>
    <m/>
    <s v="Sabina Y. Tang"/>
    <m/>
    <m/>
    <m/>
    <m/>
    <m/>
    <m/>
    <s v="Aug 15th - Linkedin request sent."/>
    <x v="0"/>
    <s v="https://www.f6s.com/jobs/37794/wonderlander/co-founder-cto"/>
    <x v="6"/>
    <s v="https://www.linkedin.com/in/sabina-y-tang-50ba4566/"/>
    <x v="0"/>
  </r>
  <r>
    <n v="258"/>
    <d v="2018-08-15T00:00:00"/>
    <x v="0"/>
    <x v="4"/>
    <d v="2018-08-15T00:00:00"/>
    <s v="Aug"/>
    <x v="13"/>
    <x v="253"/>
    <x v="64"/>
    <s v="https://www.theishu.com"/>
    <s v="Mr"/>
    <s v="Saif Siddiqui"/>
    <m/>
    <s v="Saif@theishu.com"/>
    <s v="saif.sudoku@gmail.com"/>
    <m/>
    <s v="info@theishu.com"/>
    <m/>
    <s v="Aug 15th - Cold email."/>
    <x v="0"/>
    <s v="https://www.f6s.com/jobs/37787/ishu/graphic-designer"/>
    <x v="6"/>
    <s v="https://www.linkedin.com/in/saif-siddiqui-63b23759/"/>
    <x v="0"/>
  </r>
  <r>
    <n v="259"/>
    <d v="2018-08-15T00:00:00"/>
    <x v="0"/>
    <x v="4"/>
    <d v="2018-08-16T00:00:00"/>
    <s v="Aug"/>
    <x v="37"/>
    <x v="254"/>
    <x v="6"/>
    <s v="https://moneymall.ae/"/>
    <s v="Mr"/>
    <s v="Nikunj Soni"/>
    <s v="M - 971563288711 / Off -  +971 079847 78101"/>
    <m/>
    <m/>
    <s v="thenikunjsoni@yahoo.com"/>
    <s v="ask@nikunjsoni.in"/>
    <s v="http://www.nikunjsoni.in/"/>
    <s v="Aug 15th - Cold email./Aug 16th - Tried reaching Mobile - No answer - Followedup via Linkedin."/>
    <x v="0"/>
    <s v="https://www.f6s.com/jobs/37783/moneymall/tech-lead"/>
    <x v="6"/>
    <s v="https://www.linkedin.com/company/money-mall/"/>
    <x v="1"/>
  </r>
  <r>
    <n v="260"/>
    <d v="2018-08-15T00:00:00"/>
    <x v="0"/>
    <x v="4"/>
    <d v="2018-08-16T00:00:00"/>
    <s v="Aug"/>
    <x v="20"/>
    <x v="255"/>
    <x v="46"/>
    <s v="https://www.dotgiscorp.com"/>
    <s v="Mr"/>
    <s v="Miguel Fernandez"/>
    <s v="Off - +34 645 91 83 84"/>
    <s v="MFernandeza@dotgiscorp.com"/>
    <m/>
    <m/>
    <s v="info@dotgiscorp.com"/>
    <m/>
    <s v="Aug 15th - Cold email./Aug 16th - No answer - Followed via Linkedin."/>
    <x v="0"/>
    <s v="https://www.f6s.com/jobs/37782/dotgis/desarrollador-a-frontend"/>
    <x v="6"/>
    <s v="https://www.linkedin.com/company/dotgis/"/>
    <x v="1"/>
  </r>
  <r>
    <n v="261"/>
    <d v="2018-08-15T00:00:00"/>
    <x v="0"/>
    <x v="4"/>
    <d v="2018-08-15T00:00:00"/>
    <s v="Aug"/>
    <x v="44"/>
    <x v="256"/>
    <x v="46"/>
    <s v="https://quaira.com"/>
    <s v="Mr"/>
    <s v="Renzo Castillo Cáceres"/>
    <m/>
    <s v="Renzo.Castillo@quaira.com"/>
    <m/>
    <m/>
    <s v="websites@quaira.com"/>
    <m/>
    <s v="Aug 15th - Cold email."/>
    <x v="0"/>
    <s v="https://www.f6s.com/jobs/37766/quaira/ui-ux-designer"/>
    <x v="6"/>
    <s v="https://www.linkedin.com/company/quaira/"/>
    <x v="0"/>
  </r>
  <r>
    <n v="262"/>
    <d v="2018-08-15T00:00:00"/>
    <x v="0"/>
    <x v="4"/>
    <d v="2018-08-15T00:00:00"/>
    <s v="Aug"/>
    <x v="13"/>
    <x v="257"/>
    <x v="46"/>
    <s v="https://cashcoach.co/"/>
    <s v="Mr"/>
    <s v="Sam Abrika"/>
    <m/>
    <s v="Sam@cashcoach.co / Sam.Abrika@cashcoach.co"/>
    <m/>
    <m/>
    <s v="hello@cashcoach.co"/>
    <s v="Sam.Abrika@gmail.com"/>
    <s v="Aug 15th - Cold email."/>
    <x v="0"/>
    <s v="https://www.f6s.com/jobs/37757/cashcoach/head-of-mobile-development-cto"/>
    <x v="6"/>
    <s v="https://www.linkedin.com/in/sam-abrika/"/>
    <x v="0"/>
  </r>
  <r>
    <n v="263"/>
    <d v="2018-09-17T00:00:00"/>
    <x v="0"/>
    <x v="5"/>
    <d v="2018-09-17T00:00:00"/>
    <s v="Sep"/>
    <x v="45"/>
    <x v="258"/>
    <x v="65"/>
    <s v="https://www.vrcalm.co.uk/"/>
    <s v="Mr"/>
    <s v="Hannah Blair"/>
    <m/>
    <s v="hello@hannahblair.co.uk"/>
    <m/>
    <m/>
    <m/>
    <m/>
    <s v="Sep 17th - Cold email."/>
    <x v="0"/>
    <s v="https://angel.co/vr-calm"/>
    <x v="7"/>
    <s v="https://www.linkedin.com/company/vr-calm/"/>
    <x v="0"/>
  </r>
  <r>
    <n v="264"/>
    <d v="2018-09-17T00:00:00"/>
    <x v="0"/>
    <x v="5"/>
    <d v="2018-09-17T00:00:00"/>
    <s v="Sep"/>
    <x v="46"/>
    <x v="259"/>
    <x v="65"/>
    <s v="http://pharmavgate.com"/>
    <s v="Ms"/>
    <s v="Sara Ramadan"/>
    <s v="Off - +971 561 520882"/>
    <s v="info@pharmavgate.com"/>
    <m/>
    <m/>
    <m/>
    <m/>
    <s v="Sep 17th - Cold email."/>
    <x v="0"/>
    <s v="https://angel.co/pharmavgate-academy"/>
    <x v="7"/>
    <s v="https://www.linkedin.com/company/pharmavgate-academy/"/>
    <x v="0"/>
  </r>
  <r>
    <n v="265"/>
    <d v="2018-09-17T00:00:00"/>
    <x v="0"/>
    <x v="5"/>
    <d v="2018-09-17T00:00:00"/>
    <s v="Sep"/>
    <x v="47"/>
    <x v="260"/>
    <x v="65"/>
    <s v="https://3dapartment.com"/>
    <s v="Mr"/>
    <s v="Christopher Dowd"/>
    <m/>
    <s v="gregory@3DApartment.com / christopher@3DApartment.com"/>
    <m/>
    <m/>
    <m/>
    <m/>
    <s v="Sep 17th - Cold email."/>
    <x v="0"/>
    <s v="https://angel.co/3dapartment"/>
    <x v="7"/>
    <s v="https://www.linkedin.com/company/3dapartment/"/>
    <x v="0"/>
  </r>
  <r>
    <n v="266"/>
    <d v="2018-09-17T00:00:00"/>
    <x v="0"/>
    <x v="5"/>
    <d v="2018-09-17T00:00:00"/>
    <s v="Sep"/>
    <x v="48"/>
    <x v="261"/>
    <x v="66"/>
    <s v="https://bright-angle.com"/>
    <s v="Mr"/>
    <s v="Brittany Hicks"/>
    <m/>
    <s v="Brittany@bright-angle.com"/>
    <m/>
    <m/>
    <m/>
    <m/>
    <s v="Sep 17th - Cold email."/>
    <x v="0"/>
    <s v="https://angel.co/bright-angle-1"/>
    <x v="7"/>
    <s v="https://www.linkedin.com/company/brightangle/"/>
    <x v="0"/>
  </r>
  <r>
    <n v="267"/>
    <d v="2018-09-17T00:00:00"/>
    <x v="0"/>
    <x v="5"/>
    <d v="2018-09-17T00:00:00"/>
    <s v="Sep"/>
    <x v="49"/>
    <x v="262"/>
    <x v="65"/>
    <s v="http://www.livelovekoi.com/"/>
    <s v="Mr"/>
    <s v="Dawn Thomas"/>
    <m/>
    <s v="Dawn@livelovekoi.com"/>
    <m/>
    <m/>
    <m/>
    <m/>
    <s v="Sep 17th - Cold email."/>
    <x v="0"/>
    <s v="https://angel.co/koi-story-studio"/>
    <x v="7"/>
    <s v="https://www.linkedin.com/company/koistorystudio/"/>
    <x v="0"/>
  </r>
  <r>
    <n v="268"/>
    <d v="2018-09-17T00:00:00"/>
    <x v="0"/>
    <x v="5"/>
    <d v="2018-09-17T00:00:00"/>
    <s v="Sep"/>
    <x v="50"/>
    <x v="263"/>
    <x v="65"/>
    <s v="https://www.rebelrolemodel.com"/>
    <s v="Mr"/>
    <s v="Nancy Coblenz"/>
    <s v="Off - +1 (469) 708-7031"/>
    <s v="nancy@rebelrolemodel.com / Rebel@RebelRoleModel.com"/>
    <m/>
    <m/>
    <m/>
    <m/>
    <s v="Sep 17th - Cold email - Connected via Linkedin - They have inhouse team - Open for future opportunity."/>
    <x v="2"/>
    <s v="https://angel.co/rebel-role-model"/>
    <x v="7"/>
    <s v="https://www.linkedin.com/company/rebelrolemodel/"/>
    <x v="0"/>
  </r>
  <r>
    <n v="269"/>
    <d v="2018-09-19T00:00:00"/>
    <x v="0"/>
    <x v="5"/>
    <d v="2018-09-19T00:00:00"/>
    <s v="Sep"/>
    <x v="35"/>
    <x v="264"/>
    <x v="18"/>
    <s v="http://avnt.space/"/>
    <s v="Mr"/>
    <s v="Finn Wolff"/>
    <s v="Off - +1 801-913-5322"/>
    <s v="Finn@avnt.space"/>
    <m/>
    <m/>
    <s v="finnwolff@berkeley.edu"/>
    <m/>
    <s v="Sep 19th - Linkedin request sent."/>
    <x v="0"/>
    <s v="https://www.f6s.com/jobs/38253/avnt/c-developer-augmented-reality"/>
    <x v="6"/>
    <s v="https://www.linkedin.com/company/avnt/"/>
    <x v="0"/>
  </r>
  <r>
    <n v="270"/>
    <d v="2018-10-03T00:00:00"/>
    <x v="0"/>
    <x v="6"/>
    <d v="2018-10-03T00:00:00"/>
    <s v="Oct"/>
    <x v="0"/>
    <x v="265"/>
    <x v="13"/>
    <s v="https://imotorbike.my"/>
    <s v="Mr"/>
    <s v="Miguel Enes"/>
    <m/>
    <s v="Miguel.Enes@imotorbike.my"/>
    <m/>
    <m/>
    <m/>
    <m/>
    <s v="Oct 3rd - Cold email sent - Miguel responded 'hiring inhouse devs'."/>
    <x v="2"/>
    <s v="http://startupjobs.asia/job/40739--full-stack-developer-full-stack-developer-imotorbike-malaysia"/>
    <x v="3"/>
    <s v="https://www.linkedin.com/company/imotorbike/"/>
    <x v="2"/>
  </r>
  <r>
    <n v="271"/>
    <d v="2018-10-03T00:00:00"/>
    <x v="0"/>
    <x v="6"/>
    <d v="2018-10-12T00:00:00"/>
    <s v="Oct"/>
    <x v="0"/>
    <x v="266"/>
    <x v="42"/>
    <s v="http://www.vita.net.my"/>
    <s v="Mr"/>
    <m/>
    <s v="Off - +(603) 89222988"/>
    <s v="support@vita.net.my"/>
    <m/>
    <m/>
    <m/>
    <m/>
    <s v="Oct 3rd - Cold email sent./Oct 9th - No proper response./Oct 12th - 1st followup email."/>
    <x v="0"/>
    <s v="http://startupjobs.asia/job/40716-full-stack-developer-cum-system-admin-it-zing-healthcare-sdn-bhd-malaysia"/>
    <x v="3"/>
    <s v="https://www.linkedin.com/company/zinghealth/"/>
    <x v="2"/>
  </r>
  <r>
    <n v="272"/>
    <d v="2018-10-03T00:00:00"/>
    <x v="0"/>
    <x v="6"/>
    <d v="2018-10-03T00:00:00"/>
    <s v="Oct"/>
    <x v="46"/>
    <x v="267"/>
    <x v="46"/>
    <s v="http://www.streetlifedxb.com"/>
    <s v="Mr"/>
    <s v="Fabian Dagostin"/>
    <m/>
    <m/>
    <m/>
    <m/>
    <m/>
    <m/>
    <s v="Oct 3rd - Linkedin request sent."/>
    <x v="0"/>
    <s v="https://www.f6s.com/jobs/38433/streetlife/full-stack-developer"/>
    <x v="6"/>
    <s v="https://www.linkedin.com/company/streetlifeme/"/>
    <x v="0"/>
  </r>
  <r>
    <n v="273"/>
    <d v="2018-10-03T00:00:00"/>
    <x v="0"/>
    <x v="6"/>
    <d v="2018-10-03T00:00:00"/>
    <s v="Oct"/>
    <x v="51"/>
    <x v="268"/>
    <x v="10"/>
    <m/>
    <s v="Mr"/>
    <s v="Christian Hugo Hoffmann"/>
    <m/>
    <s v="christian-hugo-hoffmann@live.de"/>
    <m/>
    <m/>
    <m/>
    <m/>
    <s v="Oct 3rd - Linkedin request sent."/>
    <x v="0"/>
    <s v="https://www.f6s.com/jobs/38417/syntherion/cto"/>
    <x v="6"/>
    <s v="https://www.linkedin.com/in/dr-christian-hugo-hoffmann-117601100/"/>
    <x v="0"/>
  </r>
  <r>
    <n v="274"/>
    <d v="2018-10-03T00:00:00"/>
    <x v="0"/>
    <x v="6"/>
    <d v="2018-10-10T00:00:00"/>
    <s v="Oct"/>
    <x v="45"/>
    <x v="269"/>
    <x v="46"/>
    <s v="https://quanterium.tech"/>
    <s v="Mr"/>
    <s v="Alex Koumpas"/>
    <m/>
    <s v="Alex.Koumpas@quanterium.tech/Alex@quanterium.tech"/>
    <m/>
    <m/>
    <s v="enquiry@quanterium.tech"/>
    <m/>
    <s v="Oct 3rd - Cold email sent./Oct 9th - 1st followup email./Oct 10th - Alex responded - asked questions."/>
    <x v="2"/>
    <s v="https://www.f6s.com/jobs/38402/quanteriumtech/software-engineer"/>
    <x v="6"/>
    <s v="https://www.linkedin.com/company/quanterium/"/>
    <x v="2"/>
  </r>
  <r>
    <n v="275"/>
    <d v="2018-10-03T00:00:00"/>
    <x v="0"/>
    <x v="6"/>
    <d v="2018-10-09T00:00:00"/>
    <s v="Oct"/>
    <x v="13"/>
    <x v="270"/>
    <x v="18"/>
    <s v="https://fweels.com/"/>
    <s v="Mr"/>
    <s v="Ben Howard"/>
    <m/>
    <s v="Ben@fweels.com"/>
    <m/>
    <m/>
    <m/>
    <m/>
    <s v="Oct 3rd - Cold email sent./Oct 9th - 1st followup email."/>
    <x v="0"/>
    <s v="https://www.f6s.com/jobs/38332/fweels/cto-co-founder-remote-or-cambridge"/>
    <x v="6"/>
    <s v="https://www.linkedin.com/company/fweels/"/>
    <x v="2"/>
  </r>
  <r>
    <n v="276"/>
    <d v="2018-10-03T00:00:00"/>
    <x v="0"/>
    <x v="6"/>
    <d v="2018-10-09T00:00:00"/>
    <s v="Oct"/>
    <x v="45"/>
    <x v="271"/>
    <x v="46"/>
    <s v="https://www.ultra-iot.com"/>
    <s v="Mr"/>
    <s v="Antoine Zenie"/>
    <m/>
    <s v="antoine.zenie@ultra-iot.com"/>
    <m/>
    <m/>
    <s v="contact@ultra-iot.com"/>
    <m/>
    <s v="Oct 3rd - Cold email sent./Oct 9th - 1st followup email."/>
    <x v="0"/>
    <s v="https://www.f6s.com/jobs/38331/ultraiot/senior-software-developer"/>
    <x v="6"/>
    <s v="https://www.linkedin.com/company/ultraiot/"/>
    <x v="2"/>
  </r>
  <r>
    <n v="277"/>
    <d v="2018-10-03T00:00:00"/>
    <x v="0"/>
    <x v="6"/>
    <d v="2018-10-09T00:00:00"/>
    <s v="Oct"/>
    <x v="11"/>
    <x v="272"/>
    <x v="18"/>
    <s v="https://sitemate.com/"/>
    <s v="Mr"/>
    <s v="Sam McDonnell"/>
    <m/>
    <s v="Sam@sitemate.com"/>
    <m/>
    <m/>
    <s v="info@sitemate.com"/>
    <m/>
    <s v="Oct 3rd - Cold email sent./Oct 9th - 1st followup email."/>
    <x v="0"/>
    <s v="https://workroll.com/jobs/senior-software-engineer-sitemate-remote"/>
    <x v="9"/>
    <s v="https://www.linkedin.com/company/sitemate-technologies/"/>
    <x v="2"/>
  </r>
  <r>
    <n v="278"/>
    <d v="2018-10-03T00:00:00"/>
    <x v="0"/>
    <x v="6"/>
    <d v="2018-10-09T00:00:00"/>
    <s v="Oct"/>
    <x v="11"/>
    <x v="273"/>
    <x v="11"/>
    <s v="https://www.poweredlocal.com.au"/>
    <s v="Mr"/>
    <s v="Denis Mysenko"/>
    <s v="Off - +61 390 13 43 23"/>
    <m/>
    <m/>
    <m/>
    <s v="denis@mysenko.com"/>
    <m/>
    <s v="Oct 3rd - Contacted via company page./Oct 9th - Unable to reach."/>
    <x v="0"/>
    <s v="https://workroll.com/jobs/full-time-senior-developer-poweredlocal-prahran-australia"/>
    <x v="9"/>
    <s v="https://www.linkedin.com/company/poweredlocal/"/>
    <x v="0"/>
  </r>
  <r>
    <n v="279"/>
    <d v="2018-10-03T00:00:00"/>
    <x v="0"/>
    <x v="6"/>
    <d v="2018-10-09T00:00:00"/>
    <s v="Oct"/>
    <x v="9"/>
    <x v="274"/>
    <x v="10"/>
    <s v="https://www.flowpress.com/"/>
    <s v="Mr"/>
    <s v="Ben Fox"/>
    <m/>
    <s v="ben@flowpress.com"/>
    <m/>
    <m/>
    <m/>
    <m/>
    <s v="Oct 3rd - Cold email sent./Oct 9th - 1st followup email."/>
    <x v="0"/>
    <s v="https://weworkremotely.com/remote-jobs/flowpress-senior-wordpress-developer-1"/>
    <x v="10"/>
    <m/>
    <x v="2"/>
  </r>
  <r>
    <n v="280"/>
    <d v="2018-10-03T00:00:00"/>
    <x v="0"/>
    <x v="6"/>
    <d v="2018-10-09T00:00:00"/>
    <s v="Oct"/>
    <x v="52"/>
    <x v="275"/>
    <x v="10"/>
    <s v="https://medmain.net/"/>
    <s v="Mr"/>
    <s v="Osamu Iizuka"/>
    <m/>
    <s v="Iizuka@medmain.net"/>
    <m/>
    <m/>
    <s v="okamoto@medmain.net"/>
    <m/>
    <s v="Oct 3rd - Cold email sent./Oct 9th - 1st followup email."/>
    <x v="0"/>
    <s v="https://weworkremotely.com/remote-jobs/webpunch-senior-developer"/>
    <x v="10"/>
    <s v="https://www.linkedin.com/in/osamu-iizuka/"/>
    <x v="2"/>
  </r>
  <r>
    <n v="281"/>
    <d v="2018-10-03T00:00:00"/>
    <x v="0"/>
    <x v="6"/>
    <d v="2018-10-12T00:00:00"/>
    <s v="Oct"/>
    <x v="1"/>
    <x v="276"/>
    <x v="11"/>
    <s v="https://webpunch12.com"/>
    <s v="Mr"/>
    <s v="Matt Jones"/>
    <s v="Off - +1 303 229 0051"/>
    <s v="matt@webpunch12.com"/>
    <m/>
    <m/>
    <s v="hello@webpunch12.com"/>
    <m/>
    <s v="Oct 3rd - Cold email sent./Oct 12th - 1st followup email."/>
    <x v="0"/>
    <s v="https://weworkremotely.com/remote-jobs/webpunch-senior-developer"/>
    <x v="10"/>
    <s v="https://www.linkedin.com/company/webpunch/"/>
    <x v="2"/>
  </r>
  <r>
    <n v="282"/>
    <d v="2018-10-03T00:00:00"/>
    <x v="0"/>
    <x v="6"/>
    <d v="2018-10-04T00:00:00"/>
    <s v="Oct"/>
    <x v="1"/>
    <x v="277"/>
    <x v="46"/>
    <s v="http://www.altanddot.com"/>
    <s v="Mr"/>
    <s v="Emily Moss"/>
    <m/>
    <s v="Emily.Moss@altanddot.com / Emily@altanddot.com"/>
    <m/>
    <m/>
    <s v="joinus@altanddot.com"/>
    <m/>
    <s v="Oct 3rd - Cold email sent./Oct 4th - Emily responded - looking for individual contributors."/>
    <x v="2"/>
    <s v="http://www.altanddot.com"/>
    <x v="11"/>
    <s v="https://www.linkedin.com/company/alt-dot/"/>
    <x v="2"/>
  </r>
  <r>
    <n v="283"/>
    <d v="2018-10-03T00:00:00"/>
    <x v="0"/>
    <x v="6"/>
    <d v="2018-10-03T00:00:00"/>
    <s v="Oct"/>
    <x v="13"/>
    <x v="278"/>
    <x v="50"/>
    <s v="https://alittlefind.com/"/>
    <s v="Mr"/>
    <s v="Caroline Jacobs"/>
    <s v="Off - +44 02087315286"/>
    <s v="Caroline@alittlefind.com"/>
    <m/>
    <m/>
    <m/>
    <m/>
    <s v="Oct 3rd - Cold email sent./Oct 9th - Job posting removed."/>
    <x v="0"/>
    <s v="https://workinstartups.com/job-board/job/73580/developer-to-help-improve-shopify-store-at-a-little-find/"/>
    <x v="12"/>
    <s v="https://www.linkedin.com/company/a-little-find-ltd/"/>
    <x v="2"/>
  </r>
  <r>
    <n v="284"/>
    <d v="2018-10-04T00:00:00"/>
    <x v="0"/>
    <x v="6"/>
    <d v="2018-10-12T00:00:00"/>
    <s v="Oct"/>
    <x v="13"/>
    <x v="279"/>
    <x v="67"/>
    <s v="https://www.incentivegames.com"/>
    <s v="Mr"/>
    <s v="John Gordon"/>
    <m/>
    <s v="John@incentivegames.com"/>
    <m/>
    <m/>
    <m/>
    <m/>
    <s v="Oct 10th - Cold email sent./Oct 12th - 1st followup email."/>
    <x v="0"/>
    <s v="https://workinstartups.com/job-board/job/72814/lead-technology-officer-at-incentive-games/"/>
    <x v="12"/>
    <s v="https://www.linkedin.com/company/incentivegames/"/>
    <x v="2"/>
  </r>
  <r>
    <n v="285"/>
    <d v="2018-10-08T00:00:00"/>
    <x v="0"/>
    <x v="6"/>
    <d v="2018-10-12T00:00:00"/>
    <s v="Oct"/>
    <x v="0"/>
    <x v="280"/>
    <x v="68"/>
    <s v="https://www.hitchbird.com"/>
    <s v="Mr"/>
    <s v="Hoi Cheung"/>
    <s v="Off - +6011 2698 6450"/>
    <s v="Hoi@hitchbird.com"/>
    <m/>
    <m/>
    <s v="info@hitchbird.com"/>
    <m/>
    <s v="Oct 8th - Cold email sent./Oct  9th - No answer - 1st followup email./Oct 12th - Not a good call - Asked to send email."/>
    <x v="0"/>
    <s v="http://startupjobs.asia/job/40519-senior-ui-ux-developer-ui-ux-hitchbird-malaysia"/>
    <x v="3"/>
    <s v="https://www.linkedin.com/company/hitchbird/"/>
    <x v="1"/>
  </r>
  <r>
    <n v="286"/>
    <d v="2018-10-08T00:00:00"/>
    <x v="0"/>
    <x v="6"/>
    <d v="2018-10-12T00:00:00"/>
    <s v="Oct"/>
    <x v="2"/>
    <x v="281"/>
    <x v="46"/>
    <s v="https://www.propinecapital.com/"/>
    <s v="Mr"/>
    <s v="Liang Zan Wong"/>
    <s v="Off -  +65-97510945"/>
    <s v="zan@propinecapital.com"/>
    <m/>
    <m/>
    <s v="contact@propinecapital.com"/>
    <s v="https://liangzan.net/"/>
    <s v="Oct 8th - Cold email sent./Oct  9th - No answer - 1st followup email./Oct 12th - No answer - 2nd followup email - Tuhina(CEO) responded - Position is filled."/>
    <x v="1"/>
    <s v="http://startupjobs.asia/job/40435-ux-designer-ui-ux-propine-capital-singapore "/>
    <x v="3"/>
    <s v="https://www.linkedin.com/company/propine-capital/"/>
    <x v="1"/>
  </r>
  <r>
    <n v="287"/>
    <d v="2018-10-08T00:00:00"/>
    <x v="0"/>
    <x v="6"/>
    <d v="2018-10-12T00:00:00"/>
    <s v="Oct"/>
    <x v="2"/>
    <x v="282"/>
    <x v="46"/>
    <s v="http://www.ctrlworks.com"/>
    <s v="Mr"/>
    <s v="Sim Kai"/>
    <s v="Off - +65 9635 7276 / +65 6802 0000"/>
    <s v="kaisim@ctrlworks.com"/>
    <m/>
    <m/>
    <m/>
    <m/>
    <s v="Oct 8th - Cold email sent./Oct 9th - Wrong number - 1st followup email./Oct 12th - 2nd followup email send."/>
    <x v="0"/>
    <s v="http://startupjobs.asia/job/40824-software-engineer-it-ctrlworks-pte-ltd-anywhere"/>
    <x v="3"/>
    <s v="https://www.linkedin.com/company/ctrlworks/"/>
    <x v="2"/>
  </r>
  <r>
    <n v="288"/>
    <d v="2018-10-08T00:00:00"/>
    <x v="0"/>
    <x v="6"/>
    <d v="2018-10-10T00:00:00"/>
    <s v="Oct"/>
    <x v="2"/>
    <x v="283"/>
    <x v="24"/>
    <s v="https://www.healthzilla.ai/"/>
    <s v="Mr"/>
    <s v="Laura Ranin "/>
    <m/>
    <s v="laura@healthzilla.ai"/>
    <m/>
    <m/>
    <m/>
    <m/>
    <s v="Oct 8th - Cold email sent./Oct 10th - 1st followup email - Laura responded - bad experince in outsourcing."/>
    <x v="3"/>
    <s v="http://startupjobs.asia/job/40789-ios-developer-full-stack-developer-healthzilla-singapore"/>
    <x v="3"/>
    <s v="https://www.linkedin.com/company/-missionready/"/>
    <x v="2"/>
  </r>
  <r>
    <n v="289"/>
    <d v="2018-10-08T00:00:00"/>
    <x v="0"/>
    <x v="6"/>
    <d v="2018-10-10T00:00:00"/>
    <s v="Oct"/>
    <x v="0"/>
    <x v="284"/>
    <x v="46"/>
    <s v="https://upstackstudio.com/"/>
    <s v="Mr"/>
    <s v="Adrian Ching"/>
    <m/>
    <s v="Adrian@upstackstudio.com"/>
    <m/>
    <m/>
    <m/>
    <m/>
    <s v="Oct 8th - Cold email sent./Oct 10th - 1st followup email."/>
    <x v="0"/>
    <s v="http://startupjobs.asia/job/40773-ruby-on-rails-developer-full-stack-developer-upstack-studio-malaysia"/>
    <x v="3"/>
    <s v="https://www.linkedin.com/company/upstack-studio/"/>
    <x v="2"/>
  </r>
  <r>
    <n v="290"/>
    <d v="2018-10-08T00:00:00"/>
    <x v="0"/>
    <x v="6"/>
    <d v="2018-10-10T00:00:00"/>
    <s v="Oct"/>
    <x v="0"/>
    <x v="285"/>
    <x v="46"/>
    <s v="http://www.mobileone.com.my/"/>
    <s v="Mr"/>
    <s v="Benny Toh"/>
    <m/>
    <s v="bennytoh@mobileone.com.my"/>
    <m/>
    <m/>
    <m/>
    <m/>
    <s v="Oct 8th - Cold email sent./Oct 10th - Followed via Linkedin."/>
    <x v="0"/>
    <s v="https://www.techinasia.com/jobs/fe4ad92a-f0f4-44c0-bfcd-2b76b2627819"/>
    <x v="4"/>
    <s v="https://www.linkedin.com/company/mobileone-technology-sdn-bhd/"/>
    <x v="2"/>
  </r>
  <r>
    <n v="291"/>
    <d v="2018-10-08T00:00:00"/>
    <x v="0"/>
    <x v="6"/>
    <d v="2018-10-10T00:00:00"/>
    <s v="Oct"/>
    <x v="1"/>
    <x v="286"/>
    <x v="44"/>
    <s v="https://www.getclutche.com/"/>
    <s v="Mr"/>
    <s v="Brett Davidoff"/>
    <m/>
    <s v="BDavidoff@clutchetech.com"/>
    <m/>
    <m/>
    <m/>
    <m/>
    <s v="Oct 8th - Cold email sent./Oct 10th - 1st followup email."/>
    <x v="0"/>
    <s v="https://www.f6s.com/jobs/38472/clutchtechinc/full-stack-developer"/>
    <x v="6"/>
    <s v="https://www.linkedin.com/company/clutche-tech-inc/"/>
    <x v="2"/>
  </r>
  <r>
    <n v="292"/>
    <d v="2018-10-08T00:00:00"/>
    <x v="0"/>
    <x v="6"/>
    <d v="2018-10-08T00:00:00"/>
    <s v="Oct"/>
    <x v="23"/>
    <x v="287"/>
    <x v="10"/>
    <m/>
    <s v="Mr"/>
    <s v="Angelo Paduano"/>
    <m/>
    <m/>
    <m/>
    <m/>
    <m/>
    <m/>
    <s v="Oct 8th - Linkedin request sent."/>
    <x v="0"/>
    <s v="https://www.f6s.com/jobs/38464/hpacoin/ios-and-android-app-development"/>
    <x v="6"/>
    <m/>
    <x v="0"/>
  </r>
  <r>
    <n v="293"/>
    <d v="2018-10-08T00:00:00"/>
    <x v="0"/>
    <x v="6"/>
    <d v="2018-10-08T00:00:00"/>
    <s v="Oct"/>
    <x v="45"/>
    <x v="288"/>
    <x v="18"/>
    <s v="https://vendiapp.com/"/>
    <s v="Mr"/>
    <s v="Anil Rao"/>
    <m/>
    <m/>
    <m/>
    <m/>
    <m/>
    <m/>
    <s v="Oct 8th - Linkedin request sent - Connected over Linkedin./Oct 9th - Asked the APP links./Oct 12th - Found the developer."/>
    <x v="1"/>
    <s v="https://workinstartups.com/job-board/job/73674/ios-app-developer-for-peer-to-peer-pre-owned-goods-marketplace-at-elysian-ai-product-vendi/"/>
    <x v="12"/>
    <s v="https://www.linkedin.com/company/elysian-ai/?originalSubdomain=in"/>
    <x v="0"/>
  </r>
  <r>
    <n v="294"/>
    <d v="2018-10-08T00:00:00"/>
    <x v="0"/>
    <x v="6"/>
    <d v="2018-10-10T00:00:00"/>
    <s v="Oct"/>
    <x v="45"/>
    <x v="289"/>
    <x v="67"/>
    <s v="https://www.twigdoo.com/"/>
    <s v="Mr"/>
    <s v="Matt W"/>
    <m/>
    <s v="Matt.Wilson@twigdoo.com / Matt@twigdoo.com"/>
    <m/>
    <m/>
    <s v="hello@twigdoo.com"/>
    <m/>
    <s v="Oct 8th - Cold email sent./Oct 10th - 1st followup email."/>
    <x v="0"/>
    <s v="https://workinstartups.com/job-board/job/73668/python-developer-partfull-stack-early-stage-startup-at-twigdoo/"/>
    <x v="12"/>
    <s v="https://www.linkedin.com/company/twigdoo/"/>
    <x v="2"/>
  </r>
  <r>
    <n v="295"/>
    <d v="2018-10-09T00:00:00"/>
    <x v="0"/>
    <x v="6"/>
    <d v="2018-10-12T00:00:00"/>
    <s v="Oct"/>
    <x v="5"/>
    <x v="290"/>
    <x v="46"/>
    <s v="https://www.orda-app.com/"/>
    <s v="Mr"/>
    <s v="Tibor Peter Juras"/>
    <s v="Off - +49 176 68283178"/>
    <s v="Chris@orda-app.com"/>
    <m/>
    <m/>
    <s v="kontakt@orda-app.com"/>
    <m/>
    <s v="Oct 9th - Cold email sent./Oct 10th - No answer - 1st followup email./Oct 12th - No answer - 2nd followup email - Chris responded - Looking for inhouse developers."/>
    <x v="1"/>
    <s v="https://www.f6s.com/jobs/38496/orda/software-engineer"/>
    <x v="6"/>
    <s v="https://www.linkedin.com/company/orda-technologies/"/>
    <x v="1"/>
  </r>
  <r>
    <n v="296"/>
    <d v="2018-10-09T00:00:00"/>
    <x v="0"/>
    <x v="6"/>
    <d v="2018-10-12T00:00:00"/>
    <s v="Oct"/>
    <x v="45"/>
    <x v="291"/>
    <x v="60"/>
    <s v="https://www.aiofitnessuk.com/"/>
    <s v="Mr"/>
    <s v="Xinyu Cui"/>
    <m/>
    <s v="xinyu@aiofitnessuk.com"/>
    <m/>
    <m/>
    <s v="info@aiofitnessuk.com"/>
    <m/>
    <s v="Oct 9th - Cold email sent./Oct 12th - 1st followup email."/>
    <x v="0"/>
    <s v="https://workinstartups.com/job-board/job/73712/ios-developer-at-aio-fitness-uk-ltd/"/>
    <x v="12"/>
    <s v="https://www.linkedin.com/company/aio-fitness-uk-ltd/"/>
    <x v="2"/>
  </r>
  <r>
    <n v="297"/>
    <d v="2018-10-09T00:00:00"/>
    <x v="0"/>
    <x v="6"/>
    <d v="2018-10-12T00:00:00"/>
    <s v="Oct"/>
    <x v="45"/>
    <x v="292"/>
    <x v="30"/>
    <s v="https://stockflare.com"/>
    <s v="Mr"/>
    <s v="Shane Leonard"/>
    <s v="Off - +44 07801549537"/>
    <s v="shane.leonard@stockflare.com"/>
    <m/>
    <m/>
    <s v="info@stockflare.com"/>
    <m/>
    <s v="Oct 9th - Cold email sent./Oct 10th - No answer - 1st followup email./Oct 12th - No answer - 2nd followup email."/>
    <x v="0"/>
    <s v="https://workinstartups.com/job-board/job/73702/full-stack-dev-junior-level-at-high-growth-fintech-at-stockflare/"/>
    <x v="12"/>
    <s v="https://www.linkedin.com/company/instense-limited/"/>
    <x v="1"/>
  </r>
  <r>
    <n v="298"/>
    <d v="2018-10-09T00:00:00"/>
    <x v="0"/>
    <x v="6"/>
    <d v="2018-10-12T00:00:00"/>
    <s v="Oct"/>
    <x v="45"/>
    <x v="293"/>
    <x v="32"/>
    <s v="http://n-interactive.com/"/>
    <s v="Mr"/>
    <s v="Nick Rosier"/>
    <s v="Off - +44 7533222919"/>
    <s v="nick@n-interactive.com"/>
    <m/>
    <m/>
    <m/>
    <m/>
    <s v="Oct 9th - Cold email sent./Oct 10th - No answer - 1st followup email./Oct 12th - No answer - 2nd followup email."/>
    <x v="0"/>
    <s v="https://workinstartups.com/job-board/job/73690/unity-developer-for-theme-park-projects-at-nameless-interactive/"/>
    <x v="12"/>
    <s v="https://www.linkedin.com/company/n-int/"/>
    <x v="1"/>
  </r>
  <r>
    <n v="299"/>
    <d v="2018-10-09T00:00:00"/>
    <x v="0"/>
    <x v="6"/>
    <d v="2018-10-10T00:00:00"/>
    <s v="Oct"/>
    <x v="45"/>
    <x v="294"/>
    <x v="46"/>
    <s v="https://www.nimbla.com"/>
    <s v="Mr"/>
    <s v="Ania Kubow"/>
    <s v="Off - +44 1423 222 417"/>
    <s v="ania@nimbla.com"/>
    <m/>
    <m/>
    <s v="simon@nimbla.com"/>
    <m/>
    <s v="Oct 9th - Cold email sent./Oct 10th - Gatekeeper said Simon is the right person to discuss on this requirement - Simon responded - they are already working with a team."/>
    <x v="2"/>
    <s v="https://workinstartups.com/job-board/job/73661/full-stack-developer-at-nimbla-at-nimbla/"/>
    <x v="12"/>
    <s v="https://www.linkedin.com/company/nimbla/"/>
    <x v="2"/>
  </r>
  <r>
    <n v="300"/>
    <d v="2018-10-09T00:00:00"/>
    <x v="0"/>
    <x v="6"/>
    <d v="2018-10-10T00:00:00"/>
    <s v="Oct"/>
    <x v="45"/>
    <x v="295"/>
    <x v="11"/>
    <s v="https://www.venturist.io/"/>
    <s v="Mr"/>
    <s v="Nick Ross"/>
    <s v="Off - +44 020 7796 0151/M - +44 07799693306"/>
    <s v="Nick@venturist.io"/>
    <m/>
    <m/>
    <s v="hello@venturist.io"/>
    <m/>
    <s v="Oct 9th - Cold email sent./Oct 10th - No answer - 1st followup email."/>
    <x v="0"/>
    <s v="https://workinstartups.com/job-board/job/73657/tech-lead-at-venturist/"/>
    <x v="12"/>
    <s v="https://www.linkedin.com/company/venturist/"/>
    <x v="1"/>
  </r>
  <r>
    <n v="301"/>
    <d v="2018-10-09T00:00:00"/>
    <x v="0"/>
    <x v="6"/>
    <d v="2018-10-09T00:00:00"/>
    <s v="Oct"/>
    <x v="45"/>
    <x v="296"/>
    <x v="6"/>
    <s v="https://squirrel.me/"/>
    <s v="Mr"/>
    <s v="Tomasz Paczkowski"/>
    <s v="Off- +44 20 7183 6688"/>
    <s v="tomek@squirrel.me"/>
    <m/>
    <m/>
    <m/>
    <m/>
    <s v="Oct 9th - Cold email sent - Tomak responded - Not interested."/>
    <x v="1"/>
    <s v="https://workinstartups.com/job-board/job/73630/full-stack-developer-leading-london-fintech-at-squirrel/"/>
    <x v="12"/>
    <s v="https://www.linkedin.com/company/squirrel-financial-wellbeing/"/>
    <x v="1"/>
  </r>
  <r>
    <n v="302"/>
    <d v="2018-10-09T00:00:00"/>
    <x v="0"/>
    <x v="6"/>
    <d v="2018-10-09T00:00:00"/>
    <s v="Oct"/>
    <x v="45"/>
    <x v="297"/>
    <x v="6"/>
    <s v="https://sync.money/"/>
    <s v="Mr"/>
    <s v="Ricky Lee"/>
    <m/>
    <m/>
    <m/>
    <m/>
    <m/>
    <m/>
    <s v="Oct 9th - Linkedin message via Sales Navigator."/>
    <x v="0"/>
    <s v="https://workinstartups.com/job-board/job/73623/backend-developer-at-syncmoney/"/>
    <x v="12"/>
    <s v="https://www.linkedin.com/company/sync-money/"/>
    <x v="0"/>
  </r>
  <r>
    <n v="303"/>
    <d v="2018-10-09T00:00:00"/>
    <x v="0"/>
    <x v="6"/>
    <d v="2018-10-12T00:00:00"/>
    <s v="Oct"/>
    <x v="45"/>
    <x v="298"/>
    <x v="69"/>
    <s v="https://www.migacore.com/"/>
    <s v="Mr"/>
    <s v="George Brova"/>
    <m/>
    <s v="george@migacore.com"/>
    <m/>
    <m/>
    <m/>
    <m/>
    <s v="Oct 9th - Cold email sent./Oct 12th - 1st followup email."/>
    <x v="0"/>
    <s v="https://workinstartups.com/job-board/job/73594/full-stack-engineer-at-migacore-technologies/"/>
    <x v="12"/>
    <s v="https://www.linkedin.com/company/migacore/"/>
    <x v="2"/>
  </r>
  <r>
    <n v="304"/>
    <d v="2018-10-09T00:00:00"/>
    <x v="0"/>
    <x v="6"/>
    <d v="2018-10-12T00:00:00"/>
    <s v="Oct"/>
    <x v="45"/>
    <x v="299"/>
    <x v="70"/>
    <s v="https://www.chronomics.com"/>
    <s v="Mr"/>
    <s v="Tom Stubbs"/>
    <s v="Off - +44 0 2077857383"/>
    <s v="Tom@chronomics.co.uk"/>
    <m/>
    <m/>
    <m/>
    <m/>
    <s v="Oct 9th - Cold email sent./Oct 10th - Gatekeeper - Tom not in - Best way to reach is email - 1st followup email./Oct 12th - Job posting removed - 2nd followup email."/>
    <x v="0"/>
    <s v="https://workinstartups.com/job-board/job/73591/front-end-react-developer-freelanceremote-at-chronomics/"/>
    <x v="12"/>
    <s v="https://www.linkedin.com/company/chronomics/"/>
    <x v="2"/>
  </r>
  <r>
    <n v="305"/>
    <d v="2018-10-09T00:00:00"/>
    <x v="0"/>
    <x v="6"/>
    <d v="2018-10-10T00:00:00"/>
    <s v="Oct"/>
    <x v="45"/>
    <x v="300"/>
    <x v="71"/>
    <s v="https://www.therapy-box.co.uk"/>
    <s v="Ms"/>
    <s v="Rebecca Bright"/>
    <s v="Off - +44(0)208 7493474"/>
    <s v="rbright@therapy-box.co.uk"/>
    <m/>
    <m/>
    <m/>
    <m/>
    <s v="Oct 9th - Cold email sent./Oct 10th - They do not work with agencies."/>
    <x v="1"/>
    <s v="https://workinstartups.com/job-board/job/73561/full-stack-web-developer-at-therapy-box/"/>
    <x v="12"/>
    <s v="https://www.linkedin.com/company/therapy-box/"/>
    <x v="2"/>
  </r>
  <r>
    <n v="306"/>
    <d v="2018-10-09T00:00:00"/>
    <x v="0"/>
    <x v="6"/>
    <d v="2018-10-12T00:00:00"/>
    <s v="Oct"/>
    <x v="45"/>
    <x v="301"/>
    <x v="72"/>
    <s v="https://www.sportpursuit.com/"/>
    <s v="Mr"/>
    <s v="Steve Blake"/>
    <m/>
    <s v="steve.blake@sportpursuit.com"/>
    <m/>
    <m/>
    <m/>
    <m/>
    <s v="Oct 9th - Cold email sent./Oct 12th - 1st followup email."/>
    <x v="0"/>
    <s v="https://workinstartups.com/job-board/job/73555/junior-full-stack-phpjs-developer-at-sportpursuit/"/>
    <x v="12"/>
    <s v="https://www.linkedin.com/company/sportpursuit/"/>
    <x v="2"/>
  </r>
  <r>
    <n v="307"/>
    <d v="2018-10-10T00:00:00"/>
    <x v="0"/>
    <x v="6"/>
    <d v="2018-10-12T00:00:00"/>
    <s v="Oct"/>
    <x v="1"/>
    <x v="302"/>
    <x v="13"/>
    <s v="https://www.verlocal.com/"/>
    <s v="Mr"/>
    <s v="Will Lee"/>
    <s v="Off - +1  (800) 599-8869"/>
    <s v="will@verlocal.com"/>
    <m/>
    <m/>
    <m/>
    <m/>
    <s v="Oct 10th - Cold email sent./Oct 12th - 1st followup email."/>
    <x v="0"/>
    <s v="https://www.techinasia.com/jobs/2a40d5e8-f379-4494-aa2a-30b32335c0a0"/>
    <x v="4"/>
    <s v="https://www.linkedin.com/company/verlocal/"/>
    <x v="2"/>
  </r>
  <r>
    <n v="308"/>
    <d v="2018-10-10T00:00:00"/>
    <x v="0"/>
    <x v="6"/>
    <d v="2018-10-12T00:00:00"/>
    <s v="Oct"/>
    <x v="2"/>
    <x v="303"/>
    <x v="10"/>
    <s v="http://travalr.com/"/>
    <s v="Mr"/>
    <m/>
    <s v="Off - +65 90051713"/>
    <s v="hr@travalr.com"/>
    <m/>
    <m/>
    <m/>
    <m/>
    <s v="Oct 10th - Cold email sent./Oct 11th - No answer - 1st followup email./Oct 12th - No answer."/>
    <x v="0"/>
    <s v="https://www.techinasia.com/jobs/55dd7d02-0a1a-4306-80eb-0f3c4446fb33"/>
    <x v="4"/>
    <m/>
    <x v="1"/>
  </r>
  <r>
    <n v="309"/>
    <d v="2018-10-10T00:00:00"/>
    <x v="0"/>
    <x v="6"/>
    <d v="2018-10-11T00:00:00"/>
    <s v="Oct"/>
    <x v="2"/>
    <x v="304"/>
    <x v="13"/>
    <s v="https://www.xinfin.org"/>
    <s v="Mr"/>
    <s v="Ankit Patel"/>
    <s v="Off - +65 9085 5604"/>
    <s v="Ankit@xinfin.org"/>
    <m/>
    <m/>
    <s v="info@xinfin.org"/>
    <m/>
    <s v="Oct 10th - Cold email sent./Oct 11th - Connected with Ankit, no positive response yet."/>
    <x v="2"/>
    <s v="https://www.techinasia.com/jobs/682ea8bf-97d0-478b-a0bc-3b2ac6d39d63"/>
    <x v="4"/>
    <s v="https://www.linkedin.com/company/xinfin/"/>
    <x v="2"/>
  </r>
  <r>
    <n v="310"/>
    <d v="2018-10-10T00:00:00"/>
    <x v="0"/>
    <x v="6"/>
    <d v="2018-10-12T00:00:00"/>
    <s v="Oct"/>
    <x v="2"/>
    <x v="305"/>
    <x v="16"/>
    <s v="https://logisticsx.io/"/>
    <s v="Mr"/>
    <s v="Victor Heng"/>
    <m/>
    <s v="Victor@logisticsx.io"/>
    <m/>
    <m/>
    <m/>
    <m/>
    <s v="Oct 10th - Cold email sent./Oct 12th - 1st followup email."/>
    <x v="0"/>
    <s v="https://www.techinasia.com/jobs/cfb7d7f0-3bcd-480e-a720-57f1adf6421f"/>
    <x v="4"/>
    <s v="https://www.linkedin.com/company/logisticsx/"/>
    <x v="2"/>
  </r>
  <r>
    <n v="311"/>
    <d v="2018-10-10T00:00:00"/>
    <x v="0"/>
    <x v="6"/>
    <d v="2018-10-10T00:00:00"/>
    <s v="Oct"/>
    <x v="2"/>
    <x v="306"/>
    <x v="10"/>
    <m/>
    <s v="Mr"/>
    <s v="Andy Ho"/>
    <m/>
    <m/>
    <m/>
    <m/>
    <m/>
    <m/>
    <s v="Oct 10th - Linkedin message via Sales Navigator."/>
    <x v="0"/>
    <s v="https://www.techinasia.com/jobs/1807804f-2ee2-4fe7-9a05-756bd6beb9be"/>
    <x v="4"/>
    <s v="https://www.linkedin.com/in/andy-ho-92170a2a/"/>
    <x v="0"/>
  </r>
  <r>
    <n v="312"/>
    <d v="2018-10-10T00:00:00"/>
    <x v="0"/>
    <x v="6"/>
    <d v="2018-10-10T00:00:00"/>
    <s v="Oct"/>
    <x v="45"/>
    <x v="307"/>
    <x v="6"/>
    <s v="https://pionr.com/"/>
    <s v="Mr"/>
    <s v="Vadzim Sasnouski"/>
    <s v="Off - +44 (0)7920 225706 "/>
    <s v="V.Sasnouski@pionr.com"/>
    <m/>
    <m/>
    <s v="info@pionr.com"/>
    <m/>
    <s v="Oct 10th - Cold email sent - Jonathan responded - not interested in remote teams."/>
    <x v="1"/>
    <s v="https://www.f6s.com/jobs/38510/pionr/full-stack-developer"/>
    <x v="6"/>
    <s v="https://www.linkedin.com/company/pionr/"/>
    <x v="1"/>
  </r>
  <r>
    <n v="313"/>
    <d v="2018-10-10T00:00:00"/>
    <x v="0"/>
    <x v="6"/>
    <d v="2018-10-12T00:00:00"/>
    <s v="Oct"/>
    <x v="37"/>
    <x v="308"/>
    <x v="6"/>
    <s v="https://invygo.com"/>
    <s v="Mr"/>
    <s v="Pulkit Ganjoo"/>
    <m/>
    <s v="pulkit@invygo.com"/>
    <m/>
    <m/>
    <s v="info@invygo.com"/>
    <m/>
    <s v="Oct 10th - Cold email sent./Oct 12th - 1st followup email."/>
    <x v="0"/>
    <s v="https://www.f6s.com/jobs/38506/invygo/lead-software-engineer"/>
    <x v="6"/>
    <s v="https://www.linkedin.com/in/pulkitganjoo/"/>
    <x v="2"/>
  </r>
  <r>
    <n v="314"/>
    <d v="2018-10-10T00:00:00"/>
    <x v="0"/>
    <x v="6"/>
    <d v="2018-10-12T00:00:00"/>
    <s v="Oct"/>
    <x v="2"/>
    <x v="309"/>
    <x v="53"/>
    <s v="https://ayudaheuristics.com/"/>
    <s v="Mr"/>
    <s v="Isabella Degen"/>
    <m/>
    <s v="Isabella.Degen@ayudaheuristics.com"/>
    <m/>
    <m/>
    <m/>
    <m/>
    <s v="Oct 10th - Cold email sent./Oct 12th - 1st followup email."/>
    <x v="0"/>
    <s v="https://workinstartups.com/job-board/job/73734/software-engineers-who-want-to-make-life-better-at-ayuda-heuristics/"/>
    <x v="12"/>
    <s v="https://www.linkedin.com/company/ayuda-heuristics/"/>
    <x v="2"/>
  </r>
  <r>
    <n v="315"/>
    <d v="2018-10-10T00:00:00"/>
    <x v="0"/>
    <x v="6"/>
    <d v="2018-10-12T00:00:00"/>
    <s v="Oct"/>
    <x v="45"/>
    <x v="18"/>
    <x v="10"/>
    <s v="https://gettrik.com/"/>
    <s v="Mr"/>
    <m/>
    <s v="Off - +44 (0) 2086 291 453"/>
    <m/>
    <m/>
    <m/>
    <s v="contact@gettrik.com"/>
    <m/>
    <s v="Oct 10th - Cold email sent./Oct 12th - 1st followup email."/>
    <x v="0"/>
    <s v="https://workinstartups.com/job-board/job/73549/front-end-developer-reactjs-at-gettrik/"/>
    <x v="12"/>
    <m/>
    <x v="2"/>
  </r>
  <r>
    <n v="316"/>
    <d v="2018-10-10T00:00:00"/>
    <x v="0"/>
    <x v="6"/>
    <d v="2018-10-12T00:00:00"/>
    <s v="Oct"/>
    <x v="45"/>
    <x v="310"/>
    <x v="6"/>
    <s v="https://www.coinzettle.com/"/>
    <s v="Mr"/>
    <s v="Jasper Dykes"/>
    <m/>
    <s v="JasperDykes@coinzettle.com"/>
    <m/>
    <m/>
    <m/>
    <m/>
    <s v="Oct 10th - Cold email sent./Oct 12th - 1st followup email."/>
    <x v="0"/>
    <s v="https://workinstartups.com/job-board/job/73533/lead-engineer-php-at-coinzettle/"/>
    <x v="12"/>
    <s v="https://www.linkedin.com/company/coinzettle/"/>
    <x v="2"/>
  </r>
  <r>
    <n v="317"/>
    <d v="2018-10-10T00:00:00"/>
    <x v="0"/>
    <x v="6"/>
    <d v="2018-10-12T00:00:00"/>
    <s v="Oct"/>
    <x v="13"/>
    <x v="311"/>
    <x v="18"/>
    <s v="https://www.coreblue.co.uk"/>
    <s v="Mr"/>
    <s v="Lewis Boyles-White"/>
    <m/>
    <s v="lewis@coreblue.co.uk"/>
    <m/>
    <m/>
    <m/>
    <m/>
    <s v="Oct 10th - Cold email sent./Oct 12th - 1st followup email."/>
    <x v="0"/>
    <s v="https://workinstartups.com/job-board/job/73520/junior-software-developer-at-core-blue/"/>
    <x v="12"/>
    <s v="https://www.linkedin.com/company/core-blue-ltd/"/>
    <x v="2"/>
  </r>
  <r>
    <n v="318"/>
    <d v="2018-10-10T00:00:00"/>
    <x v="0"/>
    <x v="6"/>
    <d v="2018-10-10T00:00:00"/>
    <s v="Oct"/>
    <x v="45"/>
    <x v="312"/>
    <x v="46"/>
    <s v="https://www.ciqgroup.com/"/>
    <s v="Mr"/>
    <s v="Will Leeming"/>
    <m/>
    <m/>
    <m/>
    <m/>
    <s v="contact@ciqgroup.com"/>
    <m/>
    <s v="Oct 10th - Linkedin message via Sales Navigator."/>
    <x v="0"/>
    <s v="https://workinstartups.com/job-board/job/73491/technical-leader-potential-cto-at-collective-iq-group-ltd/"/>
    <x v="12"/>
    <s v="https://www.linkedin.com/company/ciq-group/"/>
    <x v="0"/>
  </r>
  <r>
    <n v="319"/>
    <d v="2018-10-10T00:00:00"/>
    <x v="0"/>
    <x v="6"/>
    <d v="2018-10-12T00:00:00"/>
    <s v="Oct"/>
    <x v="45"/>
    <x v="313"/>
    <x v="10"/>
    <s v="http://www.predina.com/"/>
    <s v="Mr"/>
    <m/>
    <s v="Off - +44 - (0) - 7852403674"/>
    <m/>
    <m/>
    <m/>
    <s v="info@predina.com"/>
    <m/>
    <s v="Oct 10th - Cold email sent./Oct 12th - 1st followup email."/>
    <x v="0"/>
    <s v="https://workinstartups.com/job-board/job/73478/full-stack-back-end-developer-distributed-systems-at-predina-limited/"/>
    <x v="12"/>
    <m/>
    <x v="2"/>
  </r>
  <r>
    <n v="320"/>
    <d v="2018-10-10T00:00:00"/>
    <x v="0"/>
    <x v="6"/>
    <d v="2018-10-12T00:00:00"/>
    <s v="Oct"/>
    <x v="45"/>
    <x v="314"/>
    <x v="18"/>
    <s v="https://www.causalens.com/"/>
    <s v="Mr"/>
    <s v="Darko Matovski"/>
    <m/>
    <s v="Darko@causalens.com"/>
    <m/>
    <m/>
    <s v="info@causalens.com"/>
    <m/>
    <s v="Oct 10th - Cold email sent./Oct 12th - 1st followup email."/>
    <x v="0"/>
    <s v="https://workinstartups.com/job-board/job/73465/senior-python-developer-remote-at-causalens/"/>
    <x v="12"/>
    <s v="https://www.linkedin.com/company/causalens/"/>
    <x v="2"/>
  </r>
  <r>
    <n v="321"/>
    <d v="2018-10-11T00:00:00"/>
    <x v="0"/>
    <x v="6"/>
    <d v="2018-10-12T00:00:00"/>
    <s v="Oct"/>
    <x v="2"/>
    <x v="315"/>
    <x v="46"/>
    <s v="http://www.aquilalogic.com.sg"/>
    <s v="Mr"/>
    <s v="Kevin Low"/>
    <s v="Off - +65 6100 2377"/>
    <m/>
    <m/>
    <m/>
    <s v="enquiries@aquilalogic.com.sg"/>
    <m/>
    <s v="Oct 11th - Linkedin request send./Oct 12th - No answer - Cold email send."/>
    <x v="0"/>
    <s v="http://startupjobs.asia/job/40857-application-developer-support-consultant-full-stack-developer-aquila-logic-pte-ltd-singapore"/>
    <x v="3"/>
    <s v="https://www.linkedin.com/company/aquila-logic/?originalSubdomain=in"/>
    <x v="1"/>
  </r>
  <r>
    <n v="322"/>
    <d v="2018-10-11T00:00:00"/>
    <x v="0"/>
    <x v="6"/>
    <d v="2018-10-11T00:00:00"/>
    <s v="Oct"/>
    <x v="2"/>
    <x v="26"/>
    <x v="15"/>
    <s v="http://www.besceneapp.com/"/>
    <s v="Mr"/>
    <s v="Jimmy Teo"/>
    <m/>
    <s v="Jteo@besceneapp.com"/>
    <m/>
    <m/>
    <m/>
    <m/>
    <s v="Oct 11th - Cold email sent."/>
    <x v="0"/>
    <s v="https://www.techinasia.com/jobs/b491a167-43bc-42ad-bbdb-76ed0c0308da"/>
    <x v="4"/>
    <s v="https://www.linkedin.com/company/bescene-app/"/>
    <x v="2"/>
  </r>
  <r>
    <n v="323"/>
    <d v="2018-10-11T00:00:00"/>
    <x v="0"/>
    <x v="6"/>
    <d v="2018-10-11T00:00:00"/>
    <s v="Oct"/>
    <x v="45"/>
    <x v="316"/>
    <x v="42"/>
    <s v="https://forwardhealth.co"/>
    <s v="Mr"/>
    <s v="Lucinda Scharff"/>
    <m/>
    <s v="Lucinda@forwardhealth.co"/>
    <m/>
    <m/>
    <m/>
    <m/>
    <s v="Oct 11th - Cold email sent."/>
    <x v="0"/>
    <s v="https://www.f6s.com/jobs/38530/forwardclinical/ux-ui-developer"/>
    <x v="6"/>
    <s v="https://www.linkedin.com/company/forwardhealth/"/>
    <x v="2"/>
  </r>
  <r>
    <n v="324"/>
    <d v="2018-10-11T00:00:00"/>
    <x v="0"/>
    <x v="6"/>
    <d v="2018-10-12T00:00:00"/>
    <s v="Oct"/>
    <x v="38"/>
    <x v="317"/>
    <x v="13"/>
    <s v="http://www.bakkaldan.com"/>
    <s v="Mr"/>
    <s v="Cem Danon"/>
    <s v="Off - +90 0850 460 8030"/>
    <s v="Cem@bakkaldan.com"/>
    <m/>
    <m/>
    <s v="info@bakkaldan.com"/>
    <m/>
    <s v="Oct 11th - Cold email sent./Oct 12th - Language Barrier - 1st followup email."/>
    <x v="0"/>
    <s v="https://www.f6s.com/jobs/38523/bakkaldan/full-stack-php-developer"/>
    <x v="6"/>
    <s v="https://www.linkedin.com/company/bakkaldan-internet-hizmetleri-a.%C5%9F./"/>
    <x v="2"/>
  </r>
  <r>
    <n v="325"/>
    <d v="2018-10-11T00:00:00"/>
    <x v="0"/>
    <x v="6"/>
    <d v="2018-10-11T00:00:00"/>
    <s v="Oct"/>
    <x v="1"/>
    <x v="318"/>
    <x v="10"/>
    <m/>
    <s v="Mr"/>
    <s v="Xiangrui Kong"/>
    <m/>
    <m/>
    <m/>
    <m/>
    <m/>
    <m/>
    <s v="Oct 11th - Linkedin request send."/>
    <x v="0"/>
    <s v="https://www.f6s.com/jobs/38513/neosoulentertainment/visual-designer"/>
    <x v="6"/>
    <s v="https://www.linkedin.com/in/henrykong97/"/>
    <x v="0"/>
  </r>
  <r>
    <n v="326"/>
    <d v="2018-10-11T00:00:00"/>
    <x v="0"/>
    <x v="6"/>
    <d v="2018-10-11T00:00:00"/>
    <s v="Oct"/>
    <x v="21"/>
    <x v="319"/>
    <x v="46"/>
    <s v="http://camcheck.fr/"/>
    <s v="Mr"/>
    <s v="Chiraz Hammami"/>
    <m/>
    <s v="Chiraz.Hammami@camcheck.fr"/>
    <m/>
    <m/>
    <s v="contact@camcheck.fr"/>
    <m/>
    <m/>
    <x v="0"/>
    <s v="https://www.f6s.com/jobs/38504/camcheck/full-stack-developer"/>
    <x v="6"/>
    <s v="https://www.linkedin.com/company/camcheck/"/>
    <x v="0"/>
  </r>
  <r>
    <n v="327"/>
    <d v="2018-10-11T00:00:00"/>
    <x v="0"/>
    <x v="6"/>
    <d v="2018-10-11T00:00:00"/>
    <s v="Oct"/>
    <x v="45"/>
    <x v="320"/>
    <x v="18"/>
    <s v="https://scape.io/"/>
    <s v="Mr"/>
    <s v="Huub Heijnen"/>
    <m/>
    <s v="Huub@scape.io"/>
    <m/>
    <m/>
    <m/>
    <m/>
    <m/>
    <x v="0"/>
    <s v="https://workinstartups.com/job-board/job/73813/junior-software-engineer-mobile-at-scape-technologies/"/>
    <x v="12"/>
    <s v="https://www.linkedin.com/company/scape-technologies-ltd/"/>
    <x v="0"/>
  </r>
  <r>
    <n v="328"/>
    <d v="2018-10-11T00:00:00"/>
    <x v="0"/>
    <x v="6"/>
    <d v="2018-10-11T00:00:00"/>
    <s v="Oct"/>
    <x v="45"/>
    <x v="321"/>
    <x v="13"/>
    <s v="https://verado.com"/>
    <s v="Mr"/>
    <s v="Claudio de Giovanni"/>
    <m/>
    <s v="Claudio@verado.com"/>
    <m/>
    <m/>
    <s v="support@verado.com"/>
    <m/>
    <m/>
    <x v="0"/>
    <s v="https://workinstartups.com/job-board/job/73798/full-stack-remote-angular-developer-at-verado/"/>
    <x v="12"/>
    <s v="https://www.linkedin.com/company/verado/"/>
    <x v="0"/>
  </r>
  <r>
    <n v="329"/>
    <d v="2018-10-11T00:00:00"/>
    <x v="0"/>
    <x v="6"/>
    <d v="2018-10-11T00:00:00"/>
    <s v="Oct"/>
    <x v="45"/>
    <x v="322"/>
    <x v="73"/>
    <s v="https://tiney.co/"/>
    <s v="Mr"/>
    <s v="Edd Read"/>
    <m/>
    <s v="Edd@tiney.co"/>
    <m/>
    <m/>
    <m/>
    <m/>
    <m/>
    <x v="0"/>
    <s v="https://workinstartups.com/job-board/job/73786/lead-engineer-for-a-brand-new-startup-nodejs-london-or-remote-at-tiney/"/>
    <x v="12"/>
    <s v="https://www.linkedin.com/company/tiney-co/"/>
    <x v="0"/>
  </r>
  <r>
    <n v="330"/>
    <d v="2018-10-11T00:00:00"/>
    <x v="0"/>
    <x v="6"/>
    <d v="2018-10-11T00:00:00"/>
    <s v="Oct"/>
    <x v="45"/>
    <x v="323"/>
    <x v="6"/>
    <s v="https://www.primefactor.capital"/>
    <s v="Mr"/>
    <s v="Nic Niedermowwe"/>
    <m/>
    <s v="Nic@primefactor.capital"/>
    <m/>
    <m/>
    <s v="info@primefactor.capital"/>
    <m/>
    <s v="Oct 11th - Cold email sent."/>
    <x v="0"/>
    <s v="https://workinstartups.com/job-board/job/73460/senior-software-engineer-at-prime-factor-capital/"/>
    <x v="12"/>
    <s v="https://www.linkedin.com/company/primefactorcapital/"/>
    <x v="2"/>
  </r>
  <r>
    <n v="331"/>
    <d v="2018-10-12T00:00:00"/>
    <x v="0"/>
    <x v="6"/>
    <d v="2018-10-12T00:00:00"/>
    <s v="Oct"/>
    <x v="2"/>
    <x v="324"/>
    <x v="31"/>
    <s v="https://www.betasight.com/"/>
    <s v="Mr"/>
    <s v="Martin Sawtell"/>
    <m/>
    <s v="Martin@betasight.com"/>
    <m/>
    <m/>
    <s v="info@betasight.com"/>
    <m/>
    <m/>
    <x v="0"/>
    <s v="https://www.techinasia.com/jobs/search?country_name[]=Singapore&amp;job_category_name[]=Game%20%26%20VR%2FAR%20Development"/>
    <x v="4"/>
    <s v="https://www.linkedin.com/company/betasight/"/>
    <x v="0"/>
  </r>
  <r>
    <n v="332"/>
    <d v="2018-10-12T00:00:00"/>
    <x v="0"/>
    <x v="6"/>
    <d v="2018-10-12T00:00:00"/>
    <s v="Oct"/>
    <x v="1"/>
    <x v="325"/>
    <x v="40"/>
    <s v="http://littlenuggetco.com"/>
    <s v="Mr"/>
    <s v="Carrie Griffith"/>
    <m/>
    <s v="Carrie@littlenuggetco.com"/>
    <m/>
    <m/>
    <s v="hello@littlenuggetco.com"/>
    <m/>
    <s v="Oct 12th - Cold email sent."/>
    <x v="0"/>
    <s v="https://www.f6s.com/jobs/38534/littlenugget/lead-software-engineer"/>
    <x v="6"/>
    <s v="https://www.linkedin.com/company/little-nugget-co/"/>
    <x v="2"/>
  </r>
  <r>
    <n v="333"/>
    <d v="2018-10-12T00:00:00"/>
    <x v="0"/>
    <x v="6"/>
    <d v="2018-10-12T00:00:00"/>
    <s v="Oct"/>
    <x v="1"/>
    <x v="326"/>
    <x v="18"/>
    <s v="http://www.surfboardapp.co"/>
    <s v="Mr"/>
    <s v="Brandon Gardere"/>
    <m/>
    <s v="Brandon@surfboardapp.co"/>
    <m/>
    <m/>
    <m/>
    <m/>
    <s v="Oct 12th - Cold email sent."/>
    <x v="0"/>
    <s v="https://www.f6s.com/jobs/38532/surfboardinc/android-development-role"/>
    <x v="6"/>
    <s v="https://www.linkedin.com/company/surfboard/"/>
    <x v="2"/>
  </r>
  <r>
    <n v="334"/>
    <d v="2018-10-12T00:00:00"/>
    <x v="0"/>
    <x v="6"/>
    <d v="2018-10-12T00:00:00"/>
    <s v="Oct"/>
    <x v="24"/>
    <x v="327"/>
    <x v="46"/>
    <s v="http://zottomobile.com.br"/>
    <s v="Mr"/>
    <s v="Pablo Lopes"/>
    <s v="Off - +55 31 98978-0186"/>
    <s v="Pablo.Lopes@zottomobile.com.br"/>
    <m/>
    <m/>
    <s v="contato@zottomobile.com.br"/>
    <m/>
    <s v="Oct 12th - Cold email sent."/>
    <x v="0"/>
    <s v="https://www.f6s.com/jobs/38531/botztore/desenvolvedor-javascript"/>
    <x v="6"/>
    <s v="https://www.linkedin.com/company/zotto-mobile/"/>
    <x v="2"/>
  </r>
  <r>
    <n v="335"/>
    <d v="2018-10-12T00:00:00"/>
    <x v="0"/>
    <x v="6"/>
    <d v="2018-10-12T00:00:00"/>
    <s v="Oct"/>
    <x v="45"/>
    <x v="328"/>
    <x v="13"/>
    <s v="https://www.tamoco.com"/>
    <s v="Mr"/>
    <s v="Rune Bromer"/>
    <m/>
    <s v="Rune.Bromer@tamoco.com/Rune@tamoco.com"/>
    <m/>
    <m/>
    <m/>
    <m/>
    <s v="Oct 12th - Cold email sent."/>
    <x v="0"/>
    <s v="https://workinstartups.com/job-board/job/73290/senior-frontend-developer-reactjs-at-tamoco-limited/"/>
    <x v="12"/>
    <s v="https://www.linkedin.com/company/tamoco-the-tag-mobile-company/"/>
    <x v="2"/>
  </r>
  <r>
    <n v="336"/>
    <d v="2018-10-12T00:00:00"/>
    <x v="0"/>
    <x v="6"/>
    <d v="2018-10-12T00:00:00"/>
    <s v="Oct"/>
    <x v="45"/>
    <x v="329"/>
    <x v="27"/>
    <s v="https://verv.energy"/>
    <s v="Mr"/>
    <s v="Divia Bhatnagar"/>
    <s v="Off - +44 0800 7720160"/>
    <s v="Divia@verv.energy"/>
    <m/>
    <m/>
    <s v="info@verv.energy"/>
    <m/>
    <s v="Oct 12th - Cold email sent."/>
    <x v="0"/>
    <s v="https://workinstartups.com/job-board/job/73289/ios-developer-at-verv/"/>
    <x v="12"/>
    <s v="https://www.linkedin.com/company/vervvlux/"/>
    <x v="2"/>
  </r>
  <r>
    <n v="337"/>
    <d v="2018-10-12T00:00:00"/>
    <x v="0"/>
    <x v="6"/>
    <d v="2018-10-12T00:00:00"/>
    <s v="Oct"/>
    <x v="13"/>
    <x v="330"/>
    <x v="53"/>
    <s v="https://www.arctoris.com/"/>
    <s v="Mr"/>
    <s v="Martin-Immanuel Bittner"/>
    <m/>
    <m/>
    <m/>
    <m/>
    <m/>
    <m/>
    <s v="Oct 12th - Linkedin request send."/>
    <x v="0"/>
    <s v="https://workinstartups.com/job-board/job/73285/software-developer-at-arctoris/"/>
    <x v="12"/>
    <s v="https://www.linkedin.com/company/arctoris/"/>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6E566B6-3301-4087-92AF-04DD43A3F2AE}"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4:B7" firstHeaderRow="1" firstDataRow="1" firstDataCol="1"/>
  <pivotFields count="24">
    <pivotField showAll="0"/>
    <pivotField showAll="0"/>
    <pivotField showAll="0">
      <items count="2">
        <item x="0"/>
        <item t="default"/>
      </items>
    </pivotField>
    <pivotField showAll="0">
      <items count="8">
        <item h="1" x="0"/>
        <item x="1"/>
        <item h="1" x="2"/>
        <item h="1" x="3"/>
        <item h="1" x="4"/>
        <item h="1" x="5"/>
        <item h="1" x="6"/>
        <item t="default"/>
      </items>
    </pivotField>
    <pivotField showAll="0"/>
    <pivotField showAll="0"/>
    <pivotField showAll="0">
      <items count="54">
        <item x="48"/>
        <item x="11"/>
        <item x="19"/>
        <item x="33"/>
        <item x="29"/>
        <item x="30"/>
        <item x="24"/>
        <item x="47"/>
        <item x="41"/>
        <item x="36"/>
        <item x="9"/>
        <item x="27"/>
        <item x="32"/>
        <item x="50"/>
        <item x="18"/>
        <item x="46"/>
        <item x="28"/>
        <item x="15"/>
        <item x="14"/>
        <item x="21"/>
        <item x="5"/>
        <item x="25"/>
        <item x="6"/>
        <item x="42"/>
        <item x="12"/>
        <item x="39"/>
        <item x="23"/>
        <item x="52"/>
        <item x="31"/>
        <item x="45"/>
        <item x="49"/>
        <item x="0"/>
        <item x="40"/>
        <item x="34"/>
        <item x="4"/>
        <item x="3"/>
        <item x="10"/>
        <item x="44"/>
        <item x="16"/>
        <item x="7"/>
        <item x="22"/>
        <item x="2"/>
        <item x="20"/>
        <item x="26"/>
        <item x="51"/>
        <item x="8"/>
        <item x="43"/>
        <item x="38"/>
        <item x="37"/>
        <item x="17"/>
        <item x="13"/>
        <item x="35"/>
        <item x="1"/>
        <item t="default"/>
      </items>
    </pivotField>
    <pivotField showAll="0"/>
    <pivotField showAll="0">
      <items count="75">
        <item x="54"/>
        <item x="69"/>
        <item x="19"/>
        <item x="61"/>
        <item x="3"/>
        <item x="65"/>
        <item x="47"/>
        <item x="70"/>
        <item x="1"/>
        <item x="39"/>
        <item x="45"/>
        <item x="12"/>
        <item x="21"/>
        <item x="33"/>
        <item x="64"/>
        <item x="18"/>
        <item x="27"/>
        <item x="40"/>
        <item x="67"/>
        <item x="57"/>
        <item x="26"/>
        <item x="2"/>
        <item x="14"/>
        <item x="7"/>
        <item x="48"/>
        <item x="66"/>
        <item x="32"/>
        <item x="62"/>
        <item x="29"/>
        <item x="15"/>
        <item x="63"/>
        <item x="56"/>
        <item x="6"/>
        <item x="60"/>
        <item x="44"/>
        <item x="24"/>
        <item x="8"/>
        <item x="51"/>
        <item x="42"/>
        <item x="58"/>
        <item x="34"/>
        <item x="43"/>
        <item x="37"/>
        <item x="35"/>
        <item x="30"/>
        <item x="46"/>
        <item x="9"/>
        <item x="13"/>
        <item x="36"/>
        <item x="38"/>
        <item x="59"/>
        <item x="68"/>
        <item x="16"/>
        <item x="4"/>
        <item x="41"/>
        <item x="17"/>
        <item x="11"/>
        <item x="23"/>
        <item x="22"/>
        <item x="31"/>
        <item x="25"/>
        <item x="0"/>
        <item x="73"/>
        <item x="71"/>
        <item x="20"/>
        <item x="53"/>
        <item x="50"/>
        <item x="72"/>
        <item x="5"/>
        <item x="52"/>
        <item x="49"/>
        <item x="28"/>
        <item x="55"/>
        <item x="10"/>
        <item t="default"/>
      </items>
    </pivotField>
    <pivotField showAll="0"/>
    <pivotField showAll="0"/>
    <pivotField showAll="0"/>
    <pivotField showAll="0"/>
    <pivotField showAll="0"/>
    <pivotField showAll="0"/>
    <pivotField showAll="0"/>
    <pivotField showAll="0"/>
    <pivotField showAll="0"/>
    <pivotField showAll="0"/>
    <pivotField axis="axisRow" dataField="1" multipleItemSelectionAllowed="1" showAll="0">
      <items count="5">
        <item h="1" x="1"/>
        <item x="3"/>
        <item x="2"/>
        <item h="1" x="0"/>
        <item t="default"/>
      </items>
    </pivotField>
    <pivotField showAll="0"/>
    <pivotField multipleItemSelectionAllowed="1" showAll="0"/>
    <pivotField showAll="0"/>
    <pivotField showAll="0"/>
  </pivotFields>
  <rowFields count="1">
    <field x="19"/>
  </rowFields>
  <rowItems count="3">
    <i>
      <x v="1"/>
    </i>
    <i>
      <x v="2"/>
    </i>
    <i t="grand">
      <x/>
    </i>
  </rowItems>
  <colItems count="1">
    <i/>
  </colItems>
  <dataFields count="1">
    <dataField name="Count of Status" fld="19" subtotal="count" baseField="0" baseItem="0"/>
  </dataFields>
  <chartFormats count="18">
    <chartFormat chart="3"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2">
          <reference field="4294967294" count="1" selected="0">
            <x v="0"/>
          </reference>
          <reference field="19" count="1" selected="0">
            <x v="1"/>
          </reference>
        </references>
      </pivotArea>
    </chartFormat>
    <chartFormat chart="7" format="3" series="1">
      <pivotArea type="data" outline="0" fieldPosition="0">
        <references count="2">
          <reference field="4294967294" count="1" selected="0">
            <x v="0"/>
          </reference>
          <reference field="19" count="1" selected="0">
            <x v="2"/>
          </reference>
        </references>
      </pivotArea>
    </chartFormat>
    <chartFormat chart="6" format="3" series="1">
      <pivotArea type="data" outline="0" fieldPosition="0">
        <references count="2">
          <reference field="4294967294" count="1" selected="0">
            <x v="0"/>
          </reference>
          <reference field="19" count="1" selected="0">
            <x v="1"/>
          </reference>
        </references>
      </pivotArea>
    </chartFormat>
    <chartFormat chart="6" format="5" series="1">
      <pivotArea type="data" outline="0" fieldPosition="0">
        <references count="2">
          <reference field="4294967294" count="1" selected="0">
            <x v="0"/>
          </reference>
          <reference field="19" count="1" selected="0">
            <x v="2"/>
          </reference>
        </references>
      </pivotArea>
    </chartFormat>
    <chartFormat chart="3" format="1" series="1">
      <pivotArea type="data" outline="0" fieldPosition="0">
        <references count="2">
          <reference field="4294967294" count="1" selected="0">
            <x v="0"/>
          </reference>
          <reference field="19" count="1" selected="0">
            <x v="1"/>
          </reference>
        </references>
      </pivotArea>
    </chartFormat>
    <chartFormat chart="3" format="3" series="1">
      <pivotArea type="data" outline="0" fieldPosition="0">
        <references count="2">
          <reference field="4294967294" count="1" selected="0">
            <x v="0"/>
          </reference>
          <reference field="19" count="1" selected="0">
            <x v="2"/>
          </reference>
        </references>
      </pivotArea>
    </chartFormat>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2">
          <reference field="4294967294" count="1" selected="0">
            <x v="0"/>
          </reference>
          <reference field="19" count="1" selected="0">
            <x v="1"/>
          </reference>
        </references>
      </pivotArea>
    </chartFormat>
    <chartFormat chart="8" format="2" series="1">
      <pivotArea type="data" outline="0" fieldPosition="0">
        <references count="2">
          <reference field="4294967294" count="1" selected="0">
            <x v="0"/>
          </reference>
          <reference field="19" count="1" selected="0">
            <x v="2"/>
          </reference>
        </references>
      </pivotArea>
    </chartFormat>
    <chartFormat chart="13" format="4" series="1">
      <pivotArea type="data" outline="0" fieldPosition="0">
        <references count="2">
          <reference field="4294967294" count="1" selected="0">
            <x v="0"/>
          </reference>
          <reference field="19" count="1" selected="0">
            <x v="0"/>
          </reference>
        </references>
      </pivotArea>
    </chartFormat>
    <chartFormat chart="13" format="5" series="1">
      <pivotArea type="data" outline="0" fieldPosition="0">
        <references count="2">
          <reference field="4294967294" count="1" selected="0">
            <x v="0"/>
          </reference>
          <reference field="19" count="1" selected="0">
            <x v="1"/>
          </reference>
        </references>
      </pivotArea>
    </chartFormat>
    <chartFormat chart="18" format="4" series="1">
      <pivotArea type="data" outline="0" fieldPosition="0">
        <references count="1">
          <reference field="4294967294" count="1" selected="0">
            <x v="0"/>
          </reference>
        </references>
      </pivotArea>
    </chartFormat>
    <chartFormat chart="18" format="5">
      <pivotArea type="data" outline="0" fieldPosition="0">
        <references count="2">
          <reference field="4294967294" count="1" selected="0">
            <x v="0"/>
          </reference>
          <reference field="19" count="1" selected="0">
            <x v="0"/>
          </reference>
        </references>
      </pivotArea>
    </chartFormat>
    <chartFormat chart="18" format="6">
      <pivotArea type="data" outline="0" fieldPosition="0">
        <references count="2">
          <reference field="4294967294" count="1" selected="0">
            <x v="0"/>
          </reference>
          <reference field="19" count="1" selected="0">
            <x v="1"/>
          </reference>
        </references>
      </pivotArea>
    </chartFormat>
    <chartFormat chart="18" format="7">
      <pivotArea type="data" outline="0" fieldPosition="0">
        <references count="2">
          <reference field="4294967294" count="1" selected="0">
            <x v="0"/>
          </reference>
          <reference field="1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B4740E2-DA53-4F1A-A4BF-A7B357175E98}"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4:D8" firstHeaderRow="1" firstDataRow="2" firstDataCol="1"/>
  <pivotFields count="24">
    <pivotField showAll="0"/>
    <pivotField showAll="0"/>
    <pivotField axis="axisRow" showAll="0">
      <items count="2">
        <item x="0"/>
        <item t="default"/>
      </items>
    </pivotField>
    <pivotField axis="axisRow" showAll="0">
      <items count="8">
        <item h="1" x="0"/>
        <item x="1"/>
        <item h="1" x="2"/>
        <item h="1" x="3"/>
        <item h="1" x="4"/>
        <item h="1" x="5"/>
        <item h="1" x="6"/>
        <item t="default"/>
      </items>
    </pivotField>
    <pivotField showAll="0"/>
    <pivotField showAll="0"/>
    <pivotField showAll="0">
      <items count="54">
        <item x="48"/>
        <item x="11"/>
        <item x="19"/>
        <item x="33"/>
        <item x="29"/>
        <item x="30"/>
        <item x="24"/>
        <item x="47"/>
        <item x="41"/>
        <item x="36"/>
        <item x="9"/>
        <item x="27"/>
        <item x="32"/>
        <item x="50"/>
        <item x="18"/>
        <item x="46"/>
        <item x="28"/>
        <item x="15"/>
        <item x="14"/>
        <item x="21"/>
        <item x="5"/>
        <item x="25"/>
        <item x="6"/>
        <item x="42"/>
        <item x="12"/>
        <item x="39"/>
        <item x="23"/>
        <item x="52"/>
        <item x="31"/>
        <item x="45"/>
        <item x="49"/>
        <item x="0"/>
        <item x="40"/>
        <item x="34"/>
        <item x="4"/>
        <item x="3"/>
        <item x="10"/>
        <item x="44"/>
        <item x="16"/>
        <item x="7"/>
        <item x="22"/>
        <item x="2"/>
        <item x="20"/>
        <item x="26"/>
        <item x="51"/>
        <item x="8"/>
        <item x="43"/>
        <item x="38"/>
        <item x="37"/>
        <item x="17"/>
        <item x="13"/>
        <item x="35"/>
        <item x="1"/>
        <item t="default"/>
      </items>
    </pivotField>
    <pivotField showAll="0"/>
    <pivotField showAll="0">
      <items count="75">
        <item x="54"/>
        <item x="69"/>
        <item x="19"/>
        <item x="61"/>
        <item x="3"/>
        <item x="65"/>
        <item x="47"/>
        <item x="70"/>
        <item x="1"/>
        <item x="39"/>
        <item x="45"/>
        <item x="12"/>
        <item x="21"/>
        <item x="33"/>
        <item x="64"/>
        <item x="18"/>
        <item x="27"/>
        <item x="40"/>
        <item x="67"/>
        <item x="57"/>
        <item x="26"/>
        <item x="2"/>
        <item x="14"/>
        <item x="7"/>
        <item x="48"/>
        <item x="66"/>
        <item x="32"/>
        <item x="62"/>
        <item x="29"/>
        <item x="15"/>
        <item x="63"/>
        <item x="56"/>
        <item x="6"/>
        <item x="60"/>
        <item x="44"/>
        <item x="24"/>
        <item x="8"/>
        <item x="51"/>
        <item x="42"/>
        <item x="58"/>
        <item x="34"/>
        <item x="43"/>
        <item x="37"/>
        <item x="35"/>
        <item x="30"/>
        <item x="46"/>
        <item x="9"/>
        <item x="13"/>
        <item x="36"/>
        <item x="38"/>
        <item x="59"/>
        <item x="68"/>
        <item x="16"/>
        <item x="4"/>
        <item x="41"/>
        <item x="17"/>
        <item x="11"/>
        <item x="23"/>
        <item x="22"/>
        <item x="31"/>
        <item x="25"/>
        <item x="0"/>
        <item x="73"/>
        <item x="71"/>
        <item x="20"/>
        <item x="53"/>
        <item x="50"/>
        <item x="72"/>
        <item x="5"/>
        <item x="52"/>
        <item x="49"/>
        <item x="28"/>
        <item x="55"/>
        <item x="10"/>
        <item t="default"/>
      </items>
    </pivotField>
    <pivotField showAll="0"/>
    <pivotField showAll="0"/>
    <pivotField showAll="0"/>
    <pivotField showAll="0"/>
    <pivotField showAll="0"/>
    <pivotField showAll="0"/>
    <pivotField showAll="0"/>
    <pivotField showAll="0"/>
    <pivotField showAll="0"/>
    <pivotField showAll="0"/>
    <pivotField axis="axisCol" dataField="1" multipleItemSelectionAllowed="1" showAll="0">
      <items count="5">
        <item h="1" x="1"/>
        <item x="3"/>
        <item x="2"/>
        <item h="1" x="0"/>
        <item t="default"/>
      </items>
    </pivotField>
    <pivotField showAll="0"/>
    <pivotField multipleItemSelectionAllowed="1" showAll="0"/>
    <pivotField showAll="0"/>
    <pivotField showAll="0"/>
  </pivotFields>
  <rowFields count="2">
    <field x="2"/>
    <field x="3"/>
  </rowFields>
  <rowItems count="3">
    <i>
      <x/>
    </i>
    <i r="1">
      <x v="1"/>
    </i>
    <i t="grand">
      <x/>
    </i>
  </rowItems>
  <colFields count="1">
    <field x="19"/>
  </colFields>
  <colItems count="3">
    <i>
      <x v="1"/>
    </i>
    <i>
      <x v="2"/>
    </i>
    <i t="grand">
      <x/>
    </i>
  </colItems>
  <dataFields count="1">
    <dataField name="Count of Status" fld="19" subtotal="count" baseField="0" baseItem="0"/>
  </dataFields>
  <chartFormats count="16">
    <chartFormat chart="3"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2">
          <reference field="4294967294" count="1" selected="0">
            <x v="0"/>
          </reference>
          <reference field="19" count="1" selected="0">
            <x v="1"/>
          </reference>
        </references>
      </pivotArea>
    </chartFormat>
    <chartFormat chart="7" format="3" series="1">
      <pivotArea type="data" outline="0" fieldPosition="0">
        <references count="2">
          <reference field="4294967294" count="1" selected="0">
            <x v="0"/>
          </reference>
          <reference field="19" count="1" selected="0">
            <x v="2"/>
          </reference>
        </references>
      </pivotArea>
    </chartFormat>
    <chartFormat chart="6" format="3" series="1">
      <pivotArea type="data" outline="0" fieldPosition="0">
        <references count="2">
          <reference field="4294967294" count="1" selected="0">
            <x v="0"/>
          </reference>
          <reference field="19" count="1" selected="0">
            <x v="1"/>
          </reference>
        </references>
      </pivotArea>
    </chartFormat>
    <chartFormat chart="6" format="5" series="1">
      <pivotArea type="data" outline="0" fieldPosition="0">
        <references count="2">
          <reference field="4294967294" count="1" selected="0">
            <x v="0"/>
          </reference>
          <reference field="19" count="1" selected="0">
            <x v="2"/>
          </reference>
        </references>
      </pivotArea>
    </chartFormat>
    <chartFormat chart="3" format="1" series="1">
      <pivotArea type="data" outline="0" fieldPosition="0">
        <references count="2">
          <reference field="4294967294" count="1" selected="0">
            <x v="0"/>
          </reference>
          <reference field="19" count="1" selected="0">
            <x v="1"/>
          </reference>
        </references>
      </pivotArea>
    </chartFormat>
    <chartFormat chart="3" format="3" series="1">
      <pivotArea type="data" outline="0" fieldPosition="0">
        <references count="2">
          <reference field="4294967294" count="1" selected="0">
            <x v="0"/>
          </reference>
          <reference field="19" count="1" selected="0">
            <x v="2"/>
          </reference>
        </references>
      </pivotArea>
    </chartFormat>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2">
          <reference field="4294967294" count="1" selected="0">
            <x v="0"/>
          </reference>
          <reference field="19" count="1" selected="0">
            <x v="1"/>
          </reference>
        </references>
      </pivotArea>
    </chartFormat>
    <chartFormat chart="8" format="2" series="1">
      <pivotArea type="data" outline="0" fieldPosition="0">
        <references count="2">
          <reference field="4294967294" count="1" selected="0">
            <x v="0"/>
          </reference>
          <reference field="19" count="1" selected="0">
            <x v="2"/>
          </reference>
        </references>
      </pivotArea>
    </chartFormat>
    <chartFormat chart="13" format="4" series="1">
      <pivotArea type="data" outline="0" fieldPosition="0">
        <references count="2">
          <reference field="4294967294" count="1" selected="0">
            <x v="0"/>
          </reference>
          <reference field="19" count="1" selected="0">
            <x v="0"/>
          </reference>
        </references>
      </pivotArea>
    </chartFormat>
    <chartFormat chart="13" format="5" series="1">
      <pivotArea type="data" outline="0" fieldPosition="0">
        <references count="2">
          <reference field="4294967294" count="1" selected="0">
            <x v="0"/>
          </reference>
          <reference field="19" count="1" selected="0">
            <x v="1"/>
          </reference>
        </references>
      </pivotArea>
    </chartFormat>
    <chartFormat chart="13" format="6" series="1">
      <pivotArea type="data" outline="0" fieldPosition="0">
        <references count="2">
          <reference field="4294967294" count="1" selected="0">
            <x v="0"/>
          </reference>
          <reference field="19" count="1" selected="0">
            <x v="2"/>
          </reference>
        </references>
      </pivotArea>
    </chartFormat>
    <chartFormat chart="13"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605F6F5-1024-4F8B-84EF-EF3EAEFFBAA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D16" firstHeaderRow="1" firstDataRow="2" firstDataCol="1"/>
  <pivotFields count="24">
    <pivotField showAll="0"/>
    <pivotField showAll="0"/>
    <pivotField showAll="0">
      <items count="2">
        <item x="0"/>
        <item t="default"/>
      </items>
    </pivotField>
    <pivotField showAll="0">
      <items count="8">
        <item h="1" x="0"/>
        <item x="1"/>
        <item h="1" x="2"/>
        <item h="1" x="3"/>
        <item h="1" x="4"/>
        <item h="1" x="5"/>
        <item h="1" x="6"/>
        <item t="default"/>
      </items>
    </pivotField>
    <pivotField showAll="0"/>
    <pivotField showAll="0"/>
    <pivotField showAll="0">
      <items count="54">
        <item x="48"/>
        <item x="11"/>
        <item x="19"/>
        <item x="33"/>
        <item x="29"/>
        <item x="30"/>
        <item x="24"/>
        <item x="47"/>
        <item x="41"/>
        <item x="36"/>
        <item x="9"/>
        <item x="27"/>
        <item x="32"/>
        <item x="50"/>
        <item x="18"/>
        <item x="46"/>
        <item x="28"/>
        <item x="15"/>
        <item x="14"/>
        <item x="21"/>
        <item x="5"/>
        <item x="25"/>
        <item x="6"/>
        <item x="42"/>
        <item x="12"/>
        <item x="39"/>
        <item x="23"/>
        <item x="52"/>
        <item x="31"/>
        <item x="45"/>
        <item x="49"/>
        <item x="0"/>
        <item x="40"/>
        <item x="34"/>
        <item x="4"/>
        <item x="3"/>
        <item x="10"/>
        <item x="44"/>
        <item x="16"/>
        <item x="7"/>
        <item x="22"/>
        <item x="2"/>
        <item x="20"/>
        <item x="26"/>
        <item x="51"/>
        <item x="8"/>
        <item x="43"/>
        <item x="38"/>
        <item x="37"/>
        <item x="17"/>
        <item x="13"/>
        <item x="35"/>
        <item x="1"/>
        <item t="default"/>
      </items>
    </pivotField>
    <pivotField showAll="0"/>
    <pivotField axis="axisRow" showAll="0">
      <items count="75">
        <item x="54"/>
        <item x="69"/>
        <item x="19"/>
        <item x="61"/>
        <item x="3"/>
        <item x="65"/>
        <item x="47"/>
        <item x="70"/>
        <item x="1"/>
        <item x="39"/>
        <item x="45"/>
        <item x="12"/>
        <item x="21"/>
        <item x="33"/>
        <item x="64"/>
        <item x="18"/>
        <item x="27"/>
        <item x="40"/>
        <item x="67"/>
        <item x="57"/>
        <item x="26"/>
        <item x="2"/>
        <item x="14"/>
        <item x="7"/>
        <item x="48"/>
        <item x="66"/>
        <item x="32"/>
        <item x="62"/>
        <item x="29"/>
        <item x="15"/>
        <item x="63"/>
        <item x="56"/>
        <item x="6"/>
        <item x="60"/>
        <item x="44"/>
        <item x="24"/>
        <item x="8"/>
        <item x="51"/>
        <item x="42"/>
        <item x="58"/>
        <item x="34"/>
        <item x="43"/>
        <item x="37"/>
        <item x="35"/>
        <item x="30"/>
        <item x="46"/>
        <item x="9"/>
        <item x="13"/>
        <item x="36"/>
        <item x="38"/>
        <item x="59"/>
        <item x="68"/>
        <item x="16"/>
        <item x="4"/>
        <item x="41"/>
        <item x="17"/>
        <item x="11"/>
        <item x="23"/>
        <item x="22"/>
        <item x="31"/>
        <item x="25"/>
        <item x="0"/>
        <item x="73"/>
        <item x="71"/>
        <item x="20"/>
        <item x="53"/>
        <item x="50"/>
        <item x="72"/>
        <item x="5"/>
        <item x="52"/>
        <item x="49"/>
        <item x="28"/>
        <item x="55"/>
        <item x="10"/>
        <item t="default"/>
      </items>
    </pivotField>
    <pivotField showAll="0"/>
    <pivotField showAll="0"/>
    <pivotField showAll="0"/>
    <pivotField showAll="0"/>
    <pivotField showAll="0"/>
    <pivotField showAll="0"/>
    <pivotField showAll="0"/>
    <pivotField showAll="0"/>
    <pivotField showAll="0"/>
    <pivotField showAll="0"/>
    <pivotField axis="axisCol" dataField="1" multipleItemSelectionAllowed="1" showAll="0">
      <items count="5">
        <item h="1" x="1"/>
        <item x="3"/>
        <item h="1" x="0"/>
        <item x="2"/>
        <item t="default"/>
      </items>
    </pivotField>
    <pivotField showAll="0"/>
    <pivotField showAll="0"/>
    <pivotField showAll="0"/>
    <pivotField showAll="0"/>
  </pivotFields>
  <rowFields count="1">
    <field x="8"/>
  </rowFields>
  <rowItems count="12">
    <i>
      <x v="4"/>
    </i>
    <i>
      <x v="12"/>
    </i>
    <i>
      <x v="21"/>
    </i>
    <i>
      <x v="22"/>
    </i>
    <i>
      <x v="46"/>
    </i>
    <i>
      <x v="47"/>
    </i>
    <i>
      <x v="52"/>
    </i>
    <i>
      <x v="55"/>
    </i>
    <i>
      <x v="57"/>
    </i>
    <i>
      <x v="68"/>
    </i>
    <i>
      <x v="73"/>
    </i>
    <i t="grand">
      <x/>
    </i>
  </rowItems>
  <colFields count="1">
    <field x="19"/>
  </colFields>
  <colItems count="3">
    <i>
      <x v="1"/>
    </i>
    <i>
      <x v="3"/>
    </i>
    <i t="grand">
      <x/>
    </i>
  </colItems>
  <dataFields count="1">
    <dataField name="Count of Status" fld="19" subtotal="count" baseField="0" baseItem="0"/>
  </dataFields>
  <chartFormats count="6">
    <chartFormat chart="8" format="6" series="1">
      <pivotArea type="data" outline="0" fieldPosition="0">
        <references count="1">
          <reference field="4294967294" count="1" selected="0">
            <x v="0"/>
          </reference>
        </references>
      </pivotArea>
    </chartFormat>
    <chartFormat chart="14" format="3" series="1">
      <pivotArea type="data" outline="0" fieldPosition="0">
        <references count="2">
          <reference field="4294967294" count="1" selected="0">
            <x v="0"/>
          </reference>
          <reference field="19" count="1" selected="0">
            <x v="0"/>
          </reference>
        </references>
      </pivotArea>
    </chartFormat>
    <chartFormat chart="14" format="4" series="1">
      <pivotArea type="data" outline="0" fieldPosition="0">
        <references count="2">
          <reference field="4294967294" count="1" selected="0">
            <x v="0"/>
          </reference>
          <reference field="19" count="1" selected="0">
            <x v="1"/>
          </reference>
        </references>
      </pivotArea>
    </chartFormat>
    <chartFormat chart="14" format="5" series="1">
      <pivotArea type="data" outline="0" fieldPosition="0">
        <references count="2">
          <reference field="4294967294" count="1" selected="0">
            <x v="0"/>
          </reference>
          <reference field="19" count="1" selected="0">
            <x v="2"/>
          </reference>
        </references>
      </pivotArea>
    </chartFormat>
    <chartFormat chart="14" format="6" series="1">
      <pivotArea type="data" outline="0" fieldPosition="0">
        <references count="2">
          <reference field="4294967294" count="1" selected="0">
            <x v="0"/>
          </reference>
          <reference field="19" count="1" selected="0">
            <x v="3"/>
          </reference>
        </references>
      </pivotArea>
    </chartFormat>
    <chartFormat chart="14"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F0A7CBF-8659-4849-9A22-83DAA480349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B8" firstHeaderRow="1" firstDataRow="1" firstDataCol="1" rowPageCount="1" colPageCount="1"/>
  <pivotFields count="24">
    <pivotField showAll="0"/>
    <pivotField showAll="0"/>
    <pivotField showAll="0">
      <items count="2">
        <item x="0"/>
        <item t="default"/>
      </items>
    </pivotField>
    <pivotField showAll="0">
      <items count="8">
        <item h="1" x="0"/>
        <item x="1"/>
        <item h="1" x="2"/>
        <item h="1" x="3"/>
        <item h="1" x="4"/>
        <item h="1" x="5"/>
        <item h="1" x="6"/>
        <item t="default"/>
      </items>
    </pivotField>
    <pivotField showAll="0"/>
    <pivotField showAll="0"/>
    <pivotField showAll="0">
      <items count="54">
        <item x="48"/>
        <item x="11"/>
        <item x="19"/>
        <item x="33"/>
        <item x="29"/>
        <item x="30"/>
        <item x="24"/>
        <item x="47"/>
        <item x="41"/>
        <item x="36"/>
        <item x="9"/>
        <item x="27"/>
        <item x="32"/>
        <item x="50"/>
        <item x="18"/>
        <item x="46"/>
        <item x="28"/>
        <item x="15"/>
        <item x="14"/>
        <item x="21"/>
        <item x="5"/>
        <item x="25"/>
        <item x="6"/>
        <item x="42"/>
        <item x="12"/>
        <item x="39"/>
        <item x="23"/>
        <item x="52"/>
        <item x="31"/>
        <item x="45"/>
        <item x="49"/>
        <item x="0"/>
        <item x="40"/>
        <item x="34"/>
        <item x="4"/>
        <item x="3"/>
        <item x="10"/>
        <item x="44"/>
        <item x="16"/>
        <item x="7"/>
        <item x="22"/>
        <item x="2"/>
        <item x="20"/>
        <item x="26"/>
        <item x="51"/>
        <item x="8"/>
        <item x="43"/>
        <item x="38"/>
        <item x="37"/>
        <item x="17"/>
        <item x="13"/>
        <item x="35"/>
        <item x="1"/>
        <item t="default"/>
      </items>
    </pivotField>
    <pivotField showAll="0"/>
    <pivotField showAll="0">
      <items count="75">
        <item x="54"/>
        <item x="69"/>
        <item x="19"/>
        <item x="61"/>
        <item x="3"/>
        <item x="65"/>
        <item x="47"/>
        <item x="70"/>
        <item x="1"/>
        <item x="39"/>
        <item x="45"/>
        <item x="12"/>
        <item x="21"/>
        <item x="33"/>
        <item x="64"/>
        <item x="18"/>
        <item x="27"/>
        <item x="40"/>
        <item x="67"/>
        <item x="57"/>
        <item x="26"/>
        <item x="2"/>
        <item x="14"/>
        <item x="7"/>
        <item x="48"/>
        <item x="66"/>
        <item x="32"/>
        <item x="62"/>
        <item x="29"/>
        <item x="15"/>
        <item x="63"/>
        <item x="56"/>
        <item x="6"/>
        <item x="60"/>
        <item x="44"/>
        <item x="24"/>
        <item x="8"/>
        <item x="51"/>
        <item x="42"/>
        <item x="58"/>
        <item x="34"/>
        <item x="43"/>
        <item x="37"/>
        <item x="35"/>
        <item x="30"/>
        <item x="46"/>
        <item x="9"/>
        <item x="13"/>
        <item x="36"/>
        <item x="38"/>
        <item x="59"/>
        <item x="68"/>
        <item x="16"/>
        <item x="4"/>
        <item x="41"/>
        <item x="17"/>
        <item x="11"/>
        <item x="23"/>
        <item x="22"/>
        <item x="31"/>
        <item x="25"/>
        <item x="0"/>
        <item x="73"/>
        <item x="71"/>
        <item x="20"/>
        <item x="53"/>
        <item x="50"/>
        <item x="72"/>
        <item x="5"/>
        <item x="52"/>
        <item x="49"/>
        <item x="28"/>
        <item x="55"/>
        <item x="10"/>
        <item t="default"/>
      </items>
    </pivotField>
    <pivotField showAll="0"/>
    <pivotField showAll="0"/>
    <pivotField showAll="0"/>
    <pivotField showAll="0"/>
    <pivotField showAll="0"/>
    <pivotField showAll="0"/>
    <pivotField showAll="0"/>
    <pivotField showAll="0"/>
    <pivotField showAll="0"/>
    <pivotField showAll="0"/>
    <pivotField axis="axisPage" dataField="1" multipleItemSelectionAllowed="1" showAll="0">
      <items count="5">
        <item h="1" x="1"/>
        <item x="3"/>
        <item h="1" x="0"/>
        <item x="2"/>
        <item t="default"/>
      </items>
    </pivotField>
    <pivotField showAll="0"/>
    <pivotField axis="axisRow" showAll="0">
      <items count="14">
        <item x="7"/>
        <item x="0"/>
        <item x="1"/>
        <item x="2"/>
        <item x="8"/>
        <item x="3"/>
        <item x="10"/>
        <item x="12"/>
        <item x="9"/>
        <item x="6"/>
        <item x="4"/>
        <item x="5"/>
        <item x="11"/>
        <item t="default"/>
      </items>
    </pivotField>
    <pivotField showAll="0"/>
    <pivotField showAll="0"/>
  </pivotFields>
  <rowFields count="1">
    <field x="21"/>
  </rowFields>
  <rowItems count="5">
    <i>
      <x v="3"/>
    </i>
    <i>
      <x v="5"/>
    </i>
    <i>
      <x v="9"/>
    </i>
    <i>
      <x v="10"/>
    </i>
    <i t="grand">
      <x/>
    </i>
  </rowItems>
  <colItems count="1">
    <i/>
  </colItems>
  <pageFields count="1">
    <pageField fld="19" hier="-1"/>
  </pageFields>
  <dataFields count="1">
    <dataField name="Count of Status" fld="1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F014389-C265-4A1D-899A-83262C4B6F0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3:B9" firstHeaderRow="1" firstDataRow="1" firstDataCol="1" rowPageCount="1" colPageCount="1"/>
  <pivotFields count="24">
    <pivotField showAll="0"/>
    <pivotField showAll="0"/>
    <pivotField showAll="0">
      <items count="2">
        <item x="0"/>
        <item t="default"/>
      </items>
    </pivotField>
    <pivotField showAll="0">
      <items count="8">
        <item h="1" x="0"/>
        <item x="1"/>
        <item h="1" x="2"/>
        <item h="1" x="3"/>
        <item h="1" x="4"/>
        <item h="1" x="5"/>
        <item h="1" x="6"/>
        <item t="default"/>
      </items>
    </pivotField>
    <pivotField showAll="0"/>
    <pivotField showAll="0"/>
    <pivotField axis="axisRow" showAll="0">
      <items count="54">
        <item x="48"/>
        <item x="11"/>
        <item x="19"/>
        <item x="33"/>
        <item x="29"/>
        <item x="30"/>
        <item x="24"/>
        <item x="47"/>
        <item x="41"/>
        <item x="36"/>
        <item x="9"/>
        <item x="27"/>
        <item x="32"/>
        <item x="50"/>
        <item x="18"/>
        <item x="46"/>
        <item x="28"/>
        <item x="15"/>
        <item x="14"/>
        <item x="21"/>
        <item x="5"/>
        <item x="25"/>
        <item x="6"/>
        <item x="42"/>
        <item x="12"/>
        <item x="39"/>
        <item x="23"/>
        <item x="52"/>
        <item x="31"/>
        <item x="45"/>
        <item x="49"/>
        <item x="0"/>
        <item x="40"/>
        <item x="34"/>
        <item x="4"/>
        <item x="3"/>
        <item x="10"/>
        <item x="44"/>
        <item x="16"/>
        <item x="7"/>
        <item x="22"/>
        <item x="2"/>
        <item x="20"/>
        <item x="26"/>
        <item x="51"/>
        <item x="8"/>
        <item x="43"/>
        <item x="38"/>
        <item x="37"/>
        <item x="17"/>
        <item x="13"/>
        <item x="35"/>
        <item x="1"/>
        <item t="default"/>
      </items>
    </pivotField>
    <pivotField showAll="0"/>
    <pivotField showAll="0">
      <items count="75">
        <item x="54"/>
        <item x="69"/>
        <item x="19"/>
        <item x="61"/>
        <item x="3"/>
        <item x="65"/>
        <item x="47"/>
        <item x="70"/>
        <item x="1"/>
        <item x="39"/>
        <item x="45"/>
        <item x="12"/>
        <item x="21"/>
        <item x="33"/>
        <item x="64"/>
        <item x="18"/>
        <item x="27"/>
        <item x="40"/>
        <item x="67"/>
        <item x="57"/>
        <item x="26"/>
        <item x="2"/>
        <item x="14"/>
        <item x="7"/>
        <item x="48"/>
        <item x="66"/>
        <item x="32"/>
        <item x="62"/>
        <item x="29"/>
        <item x="15"/>
        <item x="63"/>
        <item x="56"/>
        <item x="6"/>
        <item x="60"/>
        <item x="44"/>
        <item x="24"/>
        <item x="8"/>
        <item x="51"/>
        <item x="42"/>
        <item x="58"/>
        <item x="34"/>
        <item x="43"/>
        <item x="37"/>
        <item x="35"/>
        <item x="30"/>
        <item x="46"/>
        <item x="9"/>
        <item x="13"/>
        <item x="36"/>
        <item x="38"/>
        <item x="59"/>
        <item x="68"/>
        <item x="16"/>
        <item x="4"/>
        <item x="41"/>
        <item x="17"/>
        <item x="11"/>
        <item x="23"/>
        <item x="22"/>
        <item x="31"/>
        <item x="25"/>
        <item x="0"/>
        <item x="73"/>
        <item x="71"/>
        <item x="20"/>
        <item x="53"/>
        <item x="50"/>
        <item x="72"/>
        <item x="5"/>
        <item x="52"/>
        <item x="49"/>
        <item x="28"/>
        <item x="55"/>
        <item x="10"/>
        <item t="default"/>
      </items>
    </pivotField>
    <pivotField showAll="0"/>
    <pivotField showAll="0"/>
    <pivotField showAll="0"/>
    <pivotField showAll="0"/>
    <pivotField showAll="0"/>
    <pivotField showAll="0"/>
    <pivotField showAll="0"/>
    <pivotField showAll="0"/>
    <pivotField showAll="0"/>
    <pivotField showAll="0"/>
    <pivotField axis="axisPage" dataField="1" multipleItemSelectionAllowed="1" showAll="0">
      <items count="5">
        <item h="1" x="1"/>
        <item x="3"/>
        <item h="1" x="0"/>
        <item x="2"/>
        <item t="default"/>
      </items>
    </pivotField>
    <pivotField showAll="0"/>
    <pivotField showAll="0">
      <items count="14">
        <item x="7"/>
        <item x="0"/>
        <item x="1"/>
        <item x="2"/>
        <item x="8"/>
        <item x="3"/>
        <item x="10"/>
        <item x="12"/>
        <item x="9"/>
        <item x="6"/>
        <item x="4"/>
        <item x="5"/>
        <item x="11"/>
        <item t="default"/>
      </items>
    </pivotField>
    <pivotField showAll="0"/>
    <pivotField showAll="0"/>
  </pivotFields>
  <rowFields count="1">
    <field x="6"/>
  </rowFields>
  <rowItems count="6">
    <i>
      <x v="31"/>
    </i>
    <i>
      <x v="36"/>
    </i>
    <i>
      <x v="41"/>
    </i>
    <i>
      <x v="45"/>
    </i>
    <i>
      <x v="52"/>
    </i>
    <i t="grand">
      <x/>
    </i>
  </rowItems>
  <colItems count="1">
    <i/>
  </colItems>
  <pageFields count="1">
    <pageField fld="19" hier="-1"/>
  </pageFields>
  <dataFields count="1">
    <dataField name="Count of Status" fld="19" subtotal="count" baseField="0" baseItem="0"/>
  </dataFields>
  <chartFormats count="6">
    <chartFormat chart="8" format="23"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6E75EEF-9549-4844-B1E1-7326A5C7684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A3:E10" firstHeaderRow="1" firstDataRow="2" firstDataCol="1" rowPageCount="1" colPageCount="1"/>
  <pivotFields count="24">
    <pivotField showAll="0"/>
    <pivotField showAll="0"/>
    <pivotField showAll="0">
      <items count="2">
        <item x="0"/>
        <item t="default"/>
      </items>
    </pivotField>
    <pivotField showAll="0">
      <items count="8">
        <item h="1" x="0"/>
        <item x="1"/>
        <item h="1" x="2"/>
        <item h="1" x="3"/>
        <item h="1" x="4"/>
        <item h="1" x="5"/>
        <item h="1" x="6"/>
        <item t="default"/>
      </items>
    </pivotField>
    <pivotField showAll="0"/>
    <pivotField showAll="0"/>
    <pivotField axis="axisRow" showAll="0">
      <items count="54">
        <item x="48"/>
        <item x="11"/>
        <item x="19"/>
        <item x="33"/>
        <item x="29"/>
        <item x="30"/>
        <item x="24"/>
        <item x="47"/>
        <item x="41"/>
        <item x="36"/>
        <item x="9"/>
        <item x="27"/>
        <item x="32"/>
        <item x="50"/>
        <item x="18"/>
        <item x="46"/>
        <item x="28"/>
        <item x="15"/>
        <item x="14"/>
        <item x="21"/>
        <item x="5"/>
        <item x="25"/>
        <item x="6"/>
        <item x="42"/>
        <item x="12"/>
        <item x="39"/>
        <item x="23"/>
        <item x="52"/>
        <item x="31"/>
        <item x="45"/>
        <item x="49"/>
        <item x="0"/>
        <item x="40"/>
        <item x="34"/>
        <item x="4"/>
        <item x="3"/>
        <item x="10"/>
        <item x="44"/>
        <item x="16"/>
        <item x="7"/>
        <item x="22"/>
        <item x="2"/>
        <item x="20"/>
        <item x="26"/>
        <item x="51"/>
        <item x="8"/>
        <item x="43"/>
        <item x="38"/>
        <item x="37"/>
        <item x="17"/>
        <item x="13"/>
        <item x="35"/>
        <item x="1"/>
        <item t="default"/>
      </items>
    </pivotField>
    <pivotField showAll="0"/>
    <pivotField showAll="0">
      <items count="75">
        <item x="54"/>
        <item x="69"/>
        <item x="19"/>
        <item x="61"/>
        <item x="3"/>
        <item x="65"/>
        <item x="47"/>
        <item x="70"/>
        <item x="1"/>
        <item x="39"/>
        <item x="45"/>
        <item x="12"/>
        <item x="21"/>
        <item x="33"/>
        <item x="64"/>
        <item x="18"/>
        <item x="27"/>
        <item x="40"/>
        <item x="67"/>
        <item x="57"/>
        <item x="26"/>
        <item x="2"/>
        <item x="14"/>
        <item x="7"/>
        <item x="48"/>
        <item x="66"/>
        <item x="32"/>
        <item x="62"/>
        <item x="29"/>
        <item x="15"/>
        <item x="63"/>
        <item x="56"/>
        <item x="6"/>
        <item x="60"/>
        <item x="44"/>
        <item x="24"/>
        <item x="8"/>
        <item x="51"/>
        <item x="42"/>
        <item x="58"/>
        <item x="34"/>
        <item x="43"/>
        <item x="37"/>
        <item x="35"/>
        <item x="30"/>
        <item x="46"/>
        <item x="9"/>
        <item x="13"/>
        <item x="36"/>
        <item x="38"/>
        <item x="59"/>
        <item x="68"/>
        <item x="16"/>
        <item x="4"/>
        <item x="41"/>
        <item x="17"/>
        <item x="11"/>
        <item x="23"/>
        <item x="22"/>
        <item x="31"/>
        <item x="25"/>
        <item x="0"/>
        <item x="73"/>
        <item x="71"/>
        <item x="20"/>
        <item x="53"/>
        <item x="50"/>
        <item x="72"/>
        <item x="5"/>
        <item x="52"/>
        <item x="49"/>
        <item x="28"/>
        <item x="55"/>
        <item x="10"/>
        <item t="default"/>
      </items>
    </pivotField>
    <pivotField showAll="0"/>
    <pivotField showAll="0"/>
    <pivotField showAll="0"/>
    <pivotField showAll="0"/>
    <pivotField showAll="0"/>
    <pivotField showAll="0"/>
    <pivotField showAll="0"/>
    <pivotField showAll="0"/>
    <pivotField showAll="0"/>
    <pivotField showAll="0"/>
    <pivotField axis="axisPage" dataField="1" multipleItemSelectionAllowed="1" showAll="0">
      <items count="5">
        <item h="1" x="1"/>
        <item x="3"/>
        <item h="1" x="0"/>
        <item x="2"/>
        <item t="default"/>
      </items>
    </pivotField>
    <pivotField showAll="0"/>
    <pivotField showAll="0">
      <items count="14">
        <item x="7"/>
        <item x="0"/>
        <item x="1"/>
        <item x="2"/>
        <item x="8"/>
        <item x="3"/>
        <item x="10"/>
        <item x="12"/>
        <item x="9"/>
        <item x="6"/>
        <item x="4"/>
        <item x="5"/>
        <item x="11"/>
        <item t="default"/>
      </items>
    </pivotField>
    <pivotField showAll="0"/>
    <pivotField axis="axisCol" showAll="0">
      <items count="4">
        <item x="1"/>
        <item x="0"/>
        <item x="2"/>
        <item t="default"/>
      </items>
    </pivotField>
  </pivotFields>
  <rowFields count="1">
    <field x="6"/>
  </rowFields>
  <rowItems count="6">
    <i>
      <x v="31"/>
    </i>
    <i>
      <x v="36"/>
    </i>
    <i>
      <x v="41"/>
    </i>
    <i>
      <x v="45"/>
    </i>
    <i>
      <x v="52"/>
    </i>
    <i t="grand">
      <x/>
    </i>
  </rowItems>
  <colFields count="1">
    <field x="23"/>
  </colFields>
  <colItems count="4">
    <i>
      <x/>
    </i>
    <i>
      <x v="1"/>
    </i>
    <i>
      <x v="2"/>
    </i>
    <i t="grand">
      <x/>
    </i>
  </colItems>
  <pageFields count="1">
    <pageField fld="19" hier="-1"/>
  </pageFields>
  <dataFields count="1">
    <dataField name="Count of Status" fld="19" subtotal="count" baseField="0" baseItem="0"/>
  </dataFields>
  <chartFormats count="8">
    <chartFormat chart="8" format="23"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057F4DF-230D-4462-94E7-488A98ECAFD9}"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B10:B22" firstHeaderRow="1" firstDataRow="1" firstDataCol="1"/>
  <pivotFields count="24">
    <pivotField showAll="0"/>
    <pivotField showAll="0"/>
    <pivotField showAll="0">
      <items count="2">
        <item x="0"/>
        <item t="default"/>
      </items>
    </pivotField>
    <pivotField showAll="0">
      <items count="8">
        <item h="1" x="0"/>
        <item x="1"/>
        <item h="1" x="2"/>
        <item h="1" x="3"/>
        <item h="1" x="4"/>
        <item h="1" x="5"/>
        <item h="1" x="6"/>
        <item t="default"/>
      </items>
    </pivotField>
    <pivotField showAll="0"/>
    <pivotField showAll="0"/>
    <pivotField showAll="0">
      <items count="54">
        <item x="48"/>
        <item x="11"/>
        <item x="19"/>
        <item x="33"/>
        <item x="29"/>
        <item x="30"/>
        <item x="24"/>
        <item x="47"/>
        <item x="41"/>
        <item x="36"/>
        <item x="9"/>
        <item x="27"/>
        <item x="32"/>
        <item x="50"/>
        <item x="18"/>
        <item x="46"/>
        <item x="28"/>
        <item x="15"/>
        <item x="14"/>
        <item x="21"/>
        <item x="5"/>
        <item x="25"/>
        <item x="6"/>
        <item x="42"/>
        <item x="12"/>
        <item x="39"/>
        <item x="23"/>
        <item x="52"/>
        <item x="31"/>
        <item x="45"/>
        <item x="49"/>
        <item x="0"/>
        <item x="40"/>
        <item x="34"/>
        <item x="4"/>
        <item x="3"/>
        <item x="10"/>
        <item x="44"/>
        <item x="16"/>
        <item x="7"/>
        <item x="22"/>
        <item x="2"/>
        <item x="20"/>
        <item x="26"/>
        <item x="51"/>
        <item x="8"/>
        <item x="43"/>
        <item x="38"/>
        <item x="37"/>
        <item x="17"/>
        <item x="13"/>
        <item x="35"/>
        <item x="1"/>
        <item t="default"/>
      </items>
    </pivotField>
    <pivotField axis="axisRow" showAll="0">
      <items count="332">
        <item x="313"/>
        <item x="268"/>
        <item x="260"/>
        <item x="237"/>
        <item x="278"/>
        <item x="151"/>
        <item x="28"/>
        <item x="48"/>
        <item x="222"/>
        <item x="291"/>
        <item x="229"/>
        <item x="155"/>
        <item x="15"/>
        <item x="167"/>
        <item x="81"/>
        <item x="110"/>
        <item x="277"/>
        <item x="142"/>
        <item x="165"/>
        <item x="128"/>
        <item x="147"/>
        <item x="209"/>
        <item x="315"/>
        <item x="61"/>
        <item x="330"/>
        <item x="178"/>
        <item x="126"/>
        <item x="45"/>
        <item x="233"/>
        <item x="264"/>
        <item x="309"/>
        <item x="65"/>
        <item x="214"/>
        <item x="317"/>
        <item x="245"/>
        <item x="204"/>
        <item x="36"/>
        <item x="26"/>
        <item x="324"/>
        <item x="53"/>
        <item x="175"/>
        <item x="115"/>
        <item x="1"/>
        <item x="30"/>
        <item x="261"/>
        <item x="127"/>
        <item x="319"/>
        <item x="139"/>
        <item x="179"/>
        <item x="158"/>
        <item x="6"/>
        <item x="257"/>
        <item x="117"/>
        <item x="314"/>
        <item x="77"/>
        <item x="299"/>
        <item x="312"/>
        <item x="63"/>
        <item x="46"/>
        <item x="286"/>
        <item x="60"/>
        <item x="54"/>
        <item x="12"/>
        <item x="310"/>
        <item x="23"/>
        <item x="17"/>
        <item x="223"/>
        <item x="105"/>
        <item x="251"/>
        <item x="311"/>
        <item x="87"/>
        <item x="130"/>
        <item x="243"/>
        <item x="73"/>
        <item x="282"/>
        <item x="134"/>
        <item x="57"/>
        <item x="191"/>
        <item x="10"/>
        <item x="4"/>
        <item x="7"/>
        <item x="100"/>
        <item x="119"/>
        <item x="27"/>
        <item x="94"/>
        <item x="133"/>
        <item x="247"/>
        <item x="201"/>
        <item x="255"/>
        <item x="153"/>
        <item x="138"/>
        <item x="288"/>
        <item x="21"/>
        <item x="148"/>
        <item x="56"/>
        <item x="149"/>
        <item x="168"/>
        <item x="33"/>
        <item x="85"/>
        <item x="40"/>
        <item x="2"/>
        <item x="93"/>
        <item x="274"/>
        <item x="106"/>
        <item x="316"/>
        <item x="200"/>
        <item x="111"/>
        <item x="95"/>
        <item x="270"/>
        <item x="238"/>
        <item x="210"/>
        <item x="96"/>
        <item x="66"/>
        <item x="82"/>
        <item x="144"/>
        <item x="47"/>
        <item x="248"/>
        <item x="83"/>
        <item x="32"/>
        <item x="283"/>
        <item x="249"/>
        <item x="91"/>
        <item x="280"/>
        <item x="188"/>
        <item x="287"/>
        <item x="24"/>
        <item x="62"/>
        <item x="205"/>
        <item x="265"/>
        <item x="279"/>
        <item x="107"/>
        <item x="98"/>
        <item x="239"/>
        <item x="101"/>
        <item x="16"/>
        <item x="308"/>
        <item x="253"/>
        <item x="169"/>
        <item x="90"/>
        <item x="235"/>
        <item x="189"/>
        <item x="49"/>
        <item x="74"/>
        <item x="92"/>
        <item x="141"/>
        <item x="217"/>
        <item x="262"/>
        <item x="208"/>
        <item x="67"/>
        <item x="198"/>
        <item x="199"/>
        <item x="116"/>
        <item x="135"/>
        <item x="325"/>
        <item x="132"/>
        <item x="305"/>
        <item x="80"/>
        <item x="78"/>
        <item x="14"/>
        <item x="159"/>
        <item x="236"/>
        <item x="108"/>
        <item x="275"/>
        <item x="180"/>
        <item x="31"/>
        <item x="231"/>
        <item x="29"/>
        <item x="298"/>
        <item x="123"/>
        <item x="285"/>
        <item x="137"/>
        <item x="254"/>
        <item x="183"/>
        <item x="55"/>
        <item x="163"/>
        <item x="190"/>
        <item x="136"/>
        <item x="203"/>
        <item x="230"/>
        <item x="195"/>
        <item x="152"/>
        <item x="293"/>
        <item x="318"/>
        <item x="99"/>
        <item x="206"/>
        <item x="50"/>
        <item x="294"/>
        <item x="211"/>
        <item x="181"/>
        <item x="70"/>
        <item x="97"/>
        <item x="156"/>
        <item x="37"/>
        <item x="86"/>
        <item x="207"/>
        <item x="290"/>
        <item x="220"/>
        <item x="224"/>
        <item x="240"/>
        <item x="150"/>
        <item x="125"/>
        <item x="64"/>
        <item x="102"/>
        <item x="131"/>
        <item x="52"/>
        <item x="242"/>
        <item x="259"/>
        <item x="44"/>
        <item x="307"/>
        <item x="226"/>
        <item x="39"/>
        <item x="104"/>
        <item x="43"/>
        <item x="176"/>
        <item x="246"/>
        <item x="273"/>
        <item x="69"/>
        <item x="185"/>
        <item x="59"/>
        <item x="323"/>
        <item x="281"/>
        <item x="41"/>
        <item x="250"/>
        <item x="75"/>
        <item x="256"/>
        <item x="215"/>
        <item x="269"/>
        <item x="212"/>
        <item x="186"/>
        <item x="84"/>
        <item x="263"/>
        <item x="197"/>
        <item x="22"/>
        <item x="221"/>
        <item x="89"/>
        <item x="320"/>
        <item x="161"/>
        <item x="109"/>
        <item x="218"/>
        <item x="71"/>
        <item x="114"/>
        <item x="79"/>
        <item x="5"/>
        <item x="225"/>
        <item x="272"/>
        <item x="68"/>
        <item x="193"/>
        <item x="8"/>
        <item x="103"/>
        <item x="173"/>
        <item x="140"/>
        <item x="228"/>
        <item x="301"/>
        <item x="58"/>
        <item x="196"/>
        <item x="296"/>
        <item x="160"/>
        <item x="292"/>
        <item x="171"/>
        <item x="11"/>
        <item x="267"/>
        <item x="202"/>
        <item x="241"/>
        <item x="326"/>
        <item x="297"/>
        <item x="177"/>
        <item x="328"/>
        <item x="9"/>
        <item x="219"/>
        <item x="121"/>
        <item x="88"/>
        <item x="187"/>
        <item x="51"/>
        <item x="213"/>
        <item x="72"/>
        <item x="122"/>
        <item x="0"/>
        <item x="232"/>
        <item x="182"/>
        <item x="146"/>
        <item x="300"/>
        <item x="145"/>
        <item x="172"/>
        <item x="3"/>
        <item x="322"/>
        <item x="143"/>
        <item x="166"/>
        <item x="303"/>
        <item x="124"/>
        <item x="76"/>
        <item x="162"/>
        <item x="306"/>
        <item x="289"/>
        <item x="38"/>
        <item x="129"/>
        <item x="271"/>
        <item x="192"/>
        <item x="19"/>
        <item x="284"/>
        <item x="42"/>
        <item x="20"/>
        <item x="34"/>
        <item x="13"/>
        <item x="295"/>
        <item x="321"/>
        <item x="302"/>
        <item x="329"/>
        <item x="120"/>
        <item x="194"/>
        <item x="227"/>
        <item x="174"/>
        <item x="184"/>
        <item x="216"/>
        <item x="258"/>
        <item x="118"/>
        <item x="113"/>
        <item x="276"/>
        <item x="244"/>
        <item x="164"/>
        <item x="35"/>
        <item x="170"/>
        <item x="154"/>
        <item x="252"/>
        <item x="304"/>
        <item x="234"/>
        <item x="25"/>
        <item x="157"/>
        <item x="266"/>
        <item x="327"/>
        <item x="112"/>
        <item x="18"/>
        <item t="default"/>
      </items>
    </pivotField>
    <pivotField showAll="0">
      <items count="75">
        <item x="54"/>
        <item x="69"/>
        <item x="19"/>
        <item x="61"/>
        <item x="3"/>
        <item x="65"/>
        <item x="47"/>
        <item x="70"/>
        <item x="1"/>
        <item x="39"/>
        <item x="45"/>
        <item x="12"/>
        <item x="21"/>
        <item x="33"/>
        <item x="64"/>
        <item x="18"/>
        <item x="27"/>
        <item x="40"/>
        <item x="67"/>
        <item x="57"/>
        <item x="26"/>
        <item x="2"/>
        <item x="14"/>
        <item x="7"/>
        <item x="48"/>
        <item x="66"/>
        <item x="32"/>
        <item x="62"/>
        <item x="29"/>
        <item x="15"/>
        <item x="63"/>
        <item x="56"/>
        <item x="6"/>
        <item x="60"/>
        <item x="44"/>
        <item x="24"/>
        <item x="8"/>
        <item x="51"/>
        <item x="42"/>
        <item x="58"/>
        <item x="34"/>
        <item x="43"/>
        <item x="37"/>
        <item x="35"/>
        <item x="30"/>
        <item x="46"/>
        <item x="9"/>
        <item x="13"/>
        <item x="36"/>
        <item x="38"/>
        <item x="59"/>
        <item x="68"/>
        <item x="16"/>
        <item x="4"/>
        <item x="41"/>
        <item x="17"/>
        <item x="11"/>
        <item x="23"/>
        <item x="22"/>
        <item x="31"/>
        <item x="25"/>
        <item x="0"/>
        <item x="73"/>
        <item x="71"/>
        <item x="20"/>
        <item x="53"/>
        <item x="50"/>
        <item x="72"/>
        <item x="5"/>
        <item x="52"/>
        <item x="49"/>
        <item x="28"/>
        <item x="55"/>
        <item x="10"/>
        <item t="default"/>
      </items>
    </pivotField>
    <pivotField showAll="0"/>
    <pivotField showAll="0"/>
    <pivotField showAll="0"/>
    <pivotField showAll="0"/>
    <pivotField showAll="0"/>
    <pivotField showAll="0"/>
    <pivotField showAll="0"/>
    <pivotField showAll="0"/>
    <pivotField showAll="0"/>
    <pivotField showAll="0"/>
    <pivotField multipleItemSelectionAllowed="1" showAll="0">
      <items count="5">
        <item h="1" x="1"/>
        <item x="3"/>
        <item h="1" x="0"/>
        <item x="2"/>
        <item t="default"/>
      </items>
    </pivotField>
    <pivotField showAll="0"/>
    <pivotField multipleItemSelectionAllowed="1" showAll="0">
      <items count="14">
        <item x="7"/>
        <item x="0"/>
        <item x="1"/>
        <item x="2"/>
        <item x="8"/>
        <item x="3"/>
        <item x="10"/>
        <item x="12"/>
        <item x="9"/>
        <item x="6"/>
        <item x="4"/>
        <item x="5"/>
        <item x="11"/>
        <item t="default"/>
      </items>
    </pivotField>
    <pivotField showAll="0"/>
    <pivotField showAll="0"/>
  </pivotFields>
  <rowFields count="1">
    <field x="7"/>
  </rowFields>
  <rowItems count="12">
    <i>
      <x v="27"/>
    </i>
    <i>
      <x v="78"/>
    </i>
    <i>
      <x v="83"/>
    </i>
    <i>
      <x v="99"/>
    </i>
    <i>
      <x v="118"/>
    </i>
    <i>
      <x v="232"/>
    </i>
    <i>
      <x v="247"/>
    </i>
    <i>
      <x v="299"/>
    </i>
    <i>
      <x v="300"/>
    </i>
    <i>
      <x v="301"/>
    </i>
    <i>
      <x v="30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A04F0F37-A4EF-4C26-8CE2-4CCC157047F4}" sourceName="Source">
  <pivotTables>
    <pivotTable tabId="11" name="PivotTable4"/>
  </pivotTables>
  <data>
    <tabular pivotCacheId="2017618291">
      <items count="13">
        <i x="2" s="1"/>
        <i x="3" s="1"/>
        <i x="6" s="1"/>
        <i x="4" s="1"/>
        <i x="7" s="1" nd="1"/>
        <i x="0" s="1" nd="1"/>
        <i x="1" s="1" nd="1"/>
        <i x="8" s="1" nd="1"/>
        <i x="10" s="1" nd="1"/>
        <i x="12" s="1" nd="1"/>
        <i x="9" s="1" nd="1"/>
        <i x="5" s="1" nd="1"/>
        <i x="1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1" xr10:uid="{74AD1498-E867-4ADE-B4C9-4AB0C3A22BB4}" sourceName="Status">
  <pivotTables>
    <pivotTable tabId="20" name="PivotTable4"/>
    <pivotTable tabId="17" name="PivotTable1"/>
    <pivotTable tabId="16" name="PivotTable1"/>
    <pivotTable tabId="10" name="PivotTable4"/>
    <pivotTable tabId="14" name="PivotTable1"/>
    <pivotTable tabId="12" name="PivotTable1"/>
    <pivotTable tabId="11" name="PivotTable4"/>
  </pivotTables>
  <data>
    <tabular pivotCacheId="2017618291">
      <items count="4">
        <i x="1"/>
        <i x="3" s="1"/>
        <i x="0"/>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reated_year1" xr10:uid="{819901CA-9482-43BE-81E7-9596C7AAC833}" sourceName="Created_year">
  <pivotTables>
    <pivotTable tabId="10" name="PivotTable4"/>
    <pivotTable tabId="17" name="PivotTable1"/>
    <pivotTable tabId="16" name="PivotTable1"/>
    <pivotTable tabId="14" name="PivotTable1"/>
    <pivotTable tabId="12" name="PivotTable1"/>
    <pivotTable tabId="20" name="PivotTable4"/>
    <pivotTable tabId="11" name="PivotTable4"/>
  </pivotTables>
  <data>
    <tabular pivotCacheId="2017618291">
      <items count="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reated_month1" xr10:uid="{0FAA857B-CBA1-4EAC-8690-C550F3E67F4E}" sourceName="Created_month">
  <pivotTables>
    <pivotTable tabId="10" name="PivotTable4"/>
    <pivotTable tabId="17" name="PivotTable1"/>
    <pivotTable tabId="16" name="PivotTable1"/>
    <pivotTable tabId="14" name="PivotTable1"/>
    <pivotTable tabId="12" name="PivotTable1"/>
    <pivotTable tabId="20" name="PivotTable4"/>
    <pivotTable tabId="11" name="PivotTable4"/>
  </pivotTables>
  <data>
    <tabular pivotCacheId="2017618291">
      <items count="7">
        <i x="1" s="1"/>
        <i x="2"/>
        <i x="3"/>
        <i x="4"/>
        <i x="5"/>
        <i x="6"/>
        <i x="0"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1" xr10:uid="{A3EF6C7B-E2DD-45EC-8AF7-C3C6F94E3EBC}" sourceName="Industry">
  <pivotTables>
    <pivotTable tabId="14" name="PivotTable1"/>
    <pivotTable tabId="17" name="PivotTable1"/>
    <pivotTable tabId="16" name="PivotTable1"/>
    <pivotTable tabId="10" name="PivotTable4"/>
    <pivotTable tabId="12" name="PivotTable1"/>
    <pivotTable tabId="20" name="PivotTable4"/>
    <pivotTable tabId="11" name="PivotTable4"/>
  </pivotTables>
  <data>
    <tabular pivotCacheId="2017618291">
      <items count="74">
        <i x="3" s="1"/>
        <i x="21" s="1"/>
        <i x="2" s="1"/>
        <i x="14" s="1"/>
        <i x="9" s="1"/>
        <i x="13" s="1"/>
        <i x="16" s="1"/>
        <i x="17" s="1"/>
        <i x="23" s="1"/>
        <i x="5" s="1"/>
        <i x="10" s="1"/>
        <i x="54" s="1" nd="1"/>
        <i x="69" s="1" nd="1"/>
        <i x="19" s="1" nd="1"/>
        <i x="61" s="1" nd="1"/>
        <i x="65" s="1" nd="1"/>
        <i x="47" s="1" nd="1"/>
        <i x="70" s="1" nd="1"/>
        <i x="1" s="1" nd="1"/>
        <i x="39" s="1" nd="1"/>
        <i x="45" s="1" nd="1"/>
        <i x="12" s="1" nd="1"/>
        <i x="33" s="1" nd="1"/>
        <i x="64" s="1" nd="1"/>
        <i x="18" s="1" nd="1"/>
        <i x="27" s="1" nd="1"/>
        <i x="40" s="1" nd="1"/>
        <i x="67" s="1" nd="1"/>
        <i x="57" s="1" nd="1"/>
        <i x="26" s="1" nd="1"/>
        <i x="7" s="1" nd="1"/>
        <i x="48" s="1" nd="1"/>
        <i x="66" s="1" nd="1"/>
        <i x="32" s="1" nd="1"/>
        <i x="62" s="1" nd="1"/>
        <i x="29" s="1" nd="1"/>
        <i x="15" s="1" nd="1"/>
        <i x="63" s="1" nd="1"/>
        <i x="56" s="1" nd="1"/>
        <i x="6" s="1" nd="1"/>
        <i x="60" s="1" nd="1"/>
        <i x="44" s="1" nd="1"/>
        <i x="24" s="1" nd="1"/>
        <i x="8" s="1" nd="1"/>
        <i x="51" s="1" nd="1"/>
        <i x="42" s="1" nd="1"/>
        <i x="58" s="1" nd="1"/>
        <i x="34" s="1" nd="1"/>
        <i x="43" s="1" nd="1"/>
        <i x="37" s="1" nd="1"/>
        <i x="35" s="1" nd="1"/>
        <i x="30" s="1" nd="1"/>
        <i x="46" s="1" nd="1"/>
        <i x="36" s="1" nd="1"/>
        <i x="38" s="1" nd="1"/>
        <i x="59" s="1" nd="1"/>
        <i x="68" s="1" nd="1"/>
        <i x="4" s="1" nd="1"/>
        <i x="41" s="1" nd="1"/>
        <i x="11" s="1" nd="1"/>
        <i x="22" s="1" nd="1"/>
        <i x="31" s="1" nd="1"/>
        <i x="25" s="1" nd="1"/>
        <i x="0" s="1" nd="1"/>
        <i x="73" s="1" nd="1"/>
        <i x="71" s="1" nd="1"/>
        <i x="20" s="1" nd="1"/>
        <i x="53" s="1" nd="1"/>
        <i x="50" s="1" nd="1"/>
        <i x="72" s="1" nd="1"/>
        <i x="52" s="1" nd="1"/>
        <i x="49" s="1" nd="1"/>
        <i x="28" s="1" nd="1"/>
        <i x="55"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7168B578-B9DA-45AB-A691-C0933AC712AB}" sourceName="Country">
  <pivotTables>
    <pivotTable tabId="16" name="PivotTable1"/>
    <pivotTable tabId="17" name="PivotTable1"/>
    <pivotTable tabId="10" name="PivotTable4"/>
    <pivotTable tabId="14" name="PivotTable1"/>
    <pivotTable tabId="12" name="PivotTable1"/>
    <pivotTable tabId="20" name="PivotTable4"/>
    <pivotTable tabId="11" name="PivotTable4"/>
  </pivotTables>
  <data>
    <tabular pivotCacheId="2017618291">
      <items count="53">
        <i x="0" s="1"/>
        <i x="10" s="1"/>
        <i x="2" s="1"/>
        <i x="8" s="1"/>
        <i x="1" s="1"/>
        <i x="48" s="1" nd="1"/>
        <i x="11" s="1" nd="1"/>
        <i x="19" s="1" nd="1"/>
        <i x="33" s="1" nd="1"/>
        <i x="29" s="1" nd="1"/>
        <i x="30" s="1" nd="1"/>
        <i x="24" s="1" nd="1"/>
        <i x="47" s="1" nd="1"/>
        <i x="41" s="1" nd="1"/>
        <i x="36" s="1" nd="1"/>
        <i x="9" s="1" nd="1"/>
        <i x="27" s="1" nd="1"/>
        <i x="32" s="1" nd="1"/>
        <i x="50" s="1" nd="1"/>
        <i x="18" s="1" nd="1"/>
        <i x="46" s="1" nd="1"/>
        <i x="28" s="1" nd="1"/>
        <i x="15" s="1" nd="1"/>
        <i x="14" s="1" nd="1"/>
        <i x="21" s="1" nd="1"/>
        <i x="5" s="1" nd="1"/>
        <i x="25" s="1" nd="1"/>
        <i x="6" s="1" nd="1"/>
        <i x="42" s="1" nd="1"/>
        <i x="12" s="1" nd="1"/>
        <i x="39" s="1" nd="1"/>
        <i x="23" s="1" nd="1"/>
        <i x="52" s="1" nd="1"/>
        <i x="31" s="1" nd="1"/>
        <i x="45" s="1" nd="1"/>
        <i x="49" s="1" nd="1"/>
        <i x="40" s="1" nd="1"/>
        <i x="34" s="1" nd="1"/>
        <i x="4" s="1" nd="1"/>
        <i x="3" s="1" nd="1"/>
        <i x="44" s="1" nd="1"/>
        <i x="16" s="1" nd="1"/>
        <i x="7" s="1" nd="1"/>
        <i x="22" s="1" nd="1"/>
        <i x="20" s="1" nd="1"/>
        <i x="26" s="1" nd="1"/>
        <i x="51" s="1" nd="1"/>
        <i x="43" s="1" nd="1"/>
        <i x="38" s="1" nd="1"/>
        <i x="37" s="1" nd="1"/>
        <i x="17" s="1" nd="1"/>
        <i x="13" s="1" nd="1"/>
        <i x="3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xr10:uid="{63541EC7-CBF5-4EBD-8209-5D61A7032D1B}" cache="Slicer_Source" caption="Source" rowHeight="234950"/>
  <slicer name="Status" xr10:uid="{3FD44957-4963-4504-A3C6-D9E811A2A714}" cache="Slicer_Status1" caption="Status" rowHeight="234950"/>
  <slicer name="Created_year" xr10:uid="{77B33E0D-74A9-4F05-BF10-77235D33B0A7}" cache="Slicer_Created_year1" caption="Created_year" rowHeight="234950"/>
  <slicer name="Created_month" xr10:uid="{F6D8496C-BC35-4717-8923-48211BB0CAE1}" cache="Slicer_Created_month1" caption="Created_month" startItem="4" rowHeight="234950"/>
  <slicer name="Industry" xr10:uid="{0F3A2BDC-BA98-4545-8C45-59029365DEF7}" cache="Slicer_Industry1" caption="Indust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1" xr10:uid="{9ED670FC-B53E-45EC-AFFB-413D4BF59FB4}" cache="Slicer_Status1" caption="Status" startItem="1" rowHeight="234950"/>
  <slicer name="Created_year 1" xr10:uid="{0688A910-8984-40A0-AB8A-4ECE9B84BE6F}" cache="Slicer_Created_year1" caption="Created_year" rowHeight="234950"/>
  <slicer name="Created_month 1" xr10:uid="{0EE03101-4471-486C-B49A-3871A929255C}" cache="Slicer_Created_month1" caption="Created_month" rowHeight="234950"/>
  <slicer name="Industry 1" xr10:uid="{FF5F0713-25E7-4C84-BD9E-E5F57D5B5853}" cache="Slicer_Industry1" caption="Industry" rowHeight="234950"/>
  <slicer name="Country" xr10:uid="{6F453EDF-10B8-4244-B669-8BDB37F0DA09}" cache="Slicer_Country" caption="Count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1" Type="http://schemas.openxmlformats.org/officeDocument/2006/relationships/hyperlink" Target="http://linkedin.com/in/psevens" TargetMode="External"/><Relationship Id="rId170" Type="http://schemas.openxmlformats.org/officeDocument/2006/relationships/hyperlink" Target="mailto:Shak@pulseid.com" TargetMode="External"/><Relationship Id="rId268" Type="http://schemas.openxmlformats.org/officeDocument/2006/relationships/hyperlink" Target="https://www.linkedin.com/in/fawazfraiji/" TargetMode="External"/><Relationship Id="rId475" Type="http://schemas.openxmlformats.org/officeDocument/2006/relationships/hyperlink" Target="https://www.linkedin.com/company/sendforensics/" TargetMode="External"/><Relationship Id="rId682" Type="http://schemas.openxmlformats.org/officeDocument/2006/relationships/hyperlink" Target="mailto:Abhi@trueai.io" TargetMode="External"/><Relationship Id="rId128" Type="http://schemas.openxmlformats.org/officeDocument/2006/relationships/hyperlink" Target="http://startupjobs.asia/job/38130-machine-learning-software-engineer-haulio-pte-ltd-singapore" TargetMode="External"/><Relationship Id="rId335" Type="http://schemas.openxmlformats.org/officeDocument/2006/relationships/hyperlink" Target="https://www.techinasia.com/jobs/39667730-3e02-4277-a2e5-90fd2bfcb9b9" TargetMode="External"/><Relationship Id="rId542" Type="http://schemas.openxmlformats.org/officeDocument/2006/relationships/hyperlink" Target="https://www.payrollpanda.my/" TargetMode="External"/><Relationship Id="rId987" Type="http://schemas.openxmlformats.org/officeDocument/2006/relationships/hyperlink" Target="https://www.linkedin.com/in/marcelisakowitz/" TargetMode="External"/><Relationship Id="rId1172" Type="http://schemas.openxmlformats.org/officeDocument/2006/relationships/hyperlink" Target="mailto:Iizuka@medmain.net" TargetMode="External"/><Relationship Id="rId402" Type="http://schemas.openxmlformats.org/officeDocument/2006/relationships/hyperlink" Target="https://www.linkedin.com/in/amil-moskalenko-b38297164/" TargetMode="External"/><Relationship Id="rId847" Type="http://schemas.openxmlformats.org/officeDocument/2006/relationships/hyperlink" Target="mailto:alanchow@focusc.com" TargetMode="External"/><Relationship Id="rId1032" Type="http://schemas.openxmlformats.org/officeDocument/2006/relationships/hyperlink" Target="http://www.crowdmap.io/" TargetMode="External"/><Relationship Id="rId707" Type="http://schemas.openxmlformats.org/officeDocument/2006/relationships/hyperlink" Target="https://www.linkedin.com/company/alliedcrowds/" TargetMode="External"/><Relationship Id="rId914" Type="http://schemas.openxmlformats.org/officeDocument/2006/relationships/hyperlink" Target="http://www.quanode.com/" TargetMode="External"/><Relationship Id="rId1337" Type="http://schemas.openxmlformats.org/officeDocument/2006/relationships/hyperlink" Target="https://www.f6s.com/jobs/38513/neosoulentertainment/visual-designer" TargetMode="External"/><Relationship Id="rId43" Type="http://schemas.openxmlformats.org/officeDocument/2006/relationships/hyperlink" Target="https://www.techinasia.com/jobs/18a49849-4852-47c8-b67a-40586f9f53c9" TargetMode="External"/><Relationship Id="rId1404" Type="http://schemas.openxmlformats.org/officeDocument/2006/relationships/hyperlink" Target="https://www.linkedin.com/company/betasight/" TargetMode="External"/><Relationship Id="rId192" Type="http://schemas.openxmlformats.org/officeDocument/2006/relationships/hyperlink" Target="https://www.linkedin.com/company/cloudaron-pte-ltd/" TargetMode="External"/><Relationship Id="rId497" Type="http://schemas.openxmlformats.org/officeDocument/2006/relationships/hyperlink" Target="https://angel.co/vesto" TargetMode="External"/><Relationship Id="rId357" Type="http://schemas.openxmlformats.org/officeDocument/2006/relationships/hyperlink" Target="http://feedeosapp.com/" TargetMode="External"/><Relationship Id="rId1194" Type="http://schemas.openxmlformats.org/officeDocument/2006/relationships/hyperlink" Target="https://www.linkedin.com/company/hitchbird/" TargetMode="External"/><Relationship Id="rId217" Type="http://schemas.openxmlformats.org/officeDocument/2006/relationships/hyperlink" Target="http://startupjobs.asia/job/38604-full-stack-developer-it-penefit-sdn-bhd-malaysia" TargetMode="External"/><Relationship Id="rId564" Type="http://schemas.openxmlformats.org/officeDocument/2006/relationships/hyperlink" Target="https://www.getmucho.com/" TargetMode="External"/><Relationship Id="rId771" Type="http://schemas.openxmlformats.org/officeDocument/2006/relationships/hyperlink" Target="https://www.linkedin.com/company/getmucho/" TargetMode="External"/><Relationship Id="rId869" Type="http://schemas.openxmlformats.org/officeDocument/2006/relationships/hyperlink" Target="http://www.ilao.co/" TargetMode="External"/><Relationship Id="rId424" Type="http://schemas.openxmlformats.org/officeDocument/2006/relationships/hyperlink" Target="mailto:nickmurray@passkit.com" TargetMode="External"/><Relationship Id="rId631" Type="http://schemas.openxmlformats.org/officeDocument/2006/relationships/hyperlink" Target="https://pandorabox.com.my/" TargetMode="External"/><Relationship Id="rId729" Type="http://schemas.openxmlformats.org/officeDocument/2006/relationships/hyperlink" Target="https://www.sobus.fr/" TargetMode="External"/><Relationship Id="rId1054" Type="http://schemas.openxmlformats.org/officeDocument/2006/relationships/hyperlink" Target="https://www.linkedin.com/company/doctorxdentist/" TargetMode="External"/><Relationship Id="rId1261" Type="http://schemas.openxmlformats.org/officeDocument/2006/relationships/hyperlink" Target="https://www.chronomics.com/" TargetMode="External"/><Relationship Id="rId1359" Type="http://schemas.openxmlformats.org/officeDocument/2006/relationships/hyperlink" Target="https://www.f6s.com/jobs/38534/littlenugget/lead-software-engineer" TargetMode="External"/><Relationship Id="rId936" Type="http://schemas.openxmlformats.org/officeDocument/2006/relationships/hyperlink" Target="http://ottoo.com/" TargetMode="External"/><Relationship Id="rId1121" Type="http://schemas.openxmlformats.org/officeDocument/2006/relationships/hyperlink" Target="https://angel.co/koi-story-studio" TargetMode="External"/><Relationship Id="rId1219" Type="http://schemas.openxmlformats.org/officeDocument/2006/relationships/hyperlink" Target="https://www.techinasia.com/jobs/fe4ad92a-f0f4-44c0-bfcd-2b76b2627819" TargetMode="External"/><Relationship Id="rId65" Type="http://schemas.openxmlformats.org/officeDocument/2006/relationships/hyperlink" Target="https://e27.co/job/combinesell/junior-php-laravel-backend-developer-1" TargetMode="External"/><Relationship Id="rId281" Type="http://schemas.openxmlformats.org/officeDocument/2006/relationships/hyperlink" Target="https://www.f6s.com/jobs/36488/skeddabookings/full-stack-web-developer-net-ember" TargetMode="External"/><Relationship Id="rId141" Type="http://schemas.openxmlformats.org/officeDocument/2006/relationships/hyperlink" Target="mailto:enquiry@werebits.com" TargetMode="External"/><Relationship Id="rId379" Type="http://schemas.openxmlformats.org/officeDocument/2006/relationships/hyperlink" Target="mailto:max@keyp.io" TargetMode="External"/><Relationship Id="rId586" Type="http://schemas.openxmlformats.org/officeDocument/2006/relationships/hyperlink" Target="https://kiprotect.com/" TargetMode="External"/><Relationship Id="rId793" Type="http://schemas.openxmlformats.org/officeDocument/2006/relationships/hyperlink" Target="mailto:hello@tenderboard.biz" TargetMode="External"/><Relationship Id="rId7" Type="http://schemas.openxmlformats.org/officeDocument/2006/relationships/hyperlink" Target="https://e27.co/startup/first-page-pte-ltd" TargetMode="External"/><Relationship Id="rId239" Type="http://schemas.openxmlformats.org/officeDocument/2006/relationships/hyperlink" Target="https://spotworks.com.sg/" TargetMode="External"/><Relationship Id="rId446" Type="http://schemas.openxmlformats.org/officeDocument/2006/relationships/hyperlink" Target="mailto:enquiries@maple.ai" TargetMode="External"/><Relationship Id="rId653" Type="http://schemas.openxmlformats.org/officeDocument/2006/relationships/hyperlink" Target="mailto:contact@akeles.com" TargetMode="External"/><Relationship Id="rId1076" Type="http://schemas.openxmlformats.org/officeDocument/2006/relationships/hyperlink" Target="https://www.linkedin.com/in/saif-siddiqui-63b23759/" TargetMode="External"/><Relationship Id="rId1283" Type="http://schemas.openxmlformats.org/officeDocument/2006/relationships/hyperlink" Target="https://logisticsx.io/" TargetMode="External"/><Relationship Id="rId306" Type="http://schemas.openxmlformats.org/officeDocument/2006/relationships/hyperlink" Target="https://www.linkedin.com/company/crypto-potential/" TargetMode="External"/><Relationship Id="rId860" Type="http://schemas.openxmlformats.org/officeDocument/2006/relationships/hyperlink" Target="https://www.linkedin.com/company/styckr/" TargetMode="External"/><Relationship Id="rId958" Type="http://schemas.openxmlformats.org/officeDocument/2006/relationships/hyperlink" Target="https://www.f6s.com/jobs/37698/pirsonal/senior-fullstack-developer" TargetMode="External"/><Relationship Id="rId1143" Type="http://schemas.openxmlformats.org/officeDocument/2006/relationships/hyperlink" Target="https://www.linkedin.com/in/dr-christian-hugo-hoffmann-117601100/" TargetMode="External"/><Relationship Id="rId87" Type="http://schemas.openxmlformats.org/officeDocument/2006/relationships/hyperlink" Target="mailto:opeyemi@requana.com" TargetMode="External"/><Relationship Id="rId513" Type="http://schemas.openxmlformats.org/officeDocument/2006/relationships/hyperlink" Target="https://www.linkedin.com/company/triborecommends/" TargetMode="External"/><Relationship Id="rId720" Type="http://schemas.openxmlformats.org/officeDocument/2006/relationships/hyperlink" Target="https://wetaxi.it/" TargetMode="External"/><Relationship Id="rId818" Type="http://schemas.openxmlformats.org/officeDocument/2006/relationships/hyperlink" Target="mailto:Naresh@untangle.ai" TargetMode="External"/><Relationship Id="rId1350" Type="http://schemas.openxmlformats.org/officeDocument/2006/relationships/hyperlink" Target="https://tiney.co/" TargetMode="External"/><Relationship Id="rId1003" Type="http://schemas.openxmlformats.org/officeDocument/2006/relationships/hyperlink" Target="mailto:jessebrito@7c-labs.com" TargetMode="External"/><Relationship Id="rId1210" Type="http://schemas.openxmlformats.org/officeDocument/2006/relationships/hyperlink" Target="https://www.healthzilla.ai/" TargetMode="External"/><Relationship Id="rId1308" Type="http://schemas.openxmlformats.org/officeDocument/2006/relationships/hyperlink" Target="https://www.coinzettle.com/" TargetMode="External"/><Relationship Id="rId14" Type="http://schemas.openxmlformats.org/officeDocument/2006/relationships/hyperlink" Target="mailto:Adam@deevoted.com" TargetMode="External"/><Relationship Id="rId163" Type="http://schemas.openxmlformats.org/officeDocument/2006/relationships/hyperlink" Target="mailto:hi@plasmabank.com" TargetMode="External"/><Relationship Id="rId370" Type="http://schemas.openxmlformats.org/officeDocument/2006/relationships/hyperlink" Target="mailto:Matteo.Bucci@the-roommate.com" TargetMode="External"/><Relationship Id="rId230" Type="http://schemas.openxmlformats.org/officeDocument/2006/relationships/hyperlink" Target="https://www.techinasia.com/jobs/d481fd12-ad50-47fb-96e9-cc9e35757b73" TargetMode="External"/><Relationship Id="rId468" Type="http://schemas.openxmlformats.org/officeDocument/2006/relationships/hyperlink" Target="mailto:UZyn@zynesis.com" TargetMode="External"/><Relationship Id="rId675" Type="http://schemas.openxmlformats.org/officeDocument/2006/relationships/hyperlink" Target="mailto:marcella.gubitosa@starsandcows.com" TargetMode="External"/><Relationship Id="rId882" Type="http://schemas.openxmlformats.org/officeDocument/2006/relationships/hyperlink" Target="https://www.linkedin.com/in/cristianoviegas/" TargetMode="External"/><Relationship Id="rId1098" Type="http://schemas.openxmlformats.org/officeDocument/2006/relationships/hyperlink" Target="https://www.f6s.com/jobs/37757/cashcoach/head-of-mobile-development-cto" TargetMode="External"/><Relationship Id="rId328" Type="http://schemas.openxmlformats.org/officeDocument/2006/relationships/hyperlink" Target="mailto:Sam.Yang@ludic.games" TargetMode="External"/><Relationship Id="rId535" Type="http://schemas.openxmlformats.org/officeDocument/2006/relationships/hyperlink" Target="https://www.linkedin.com/company/ultimateboxxer/" TargetMode="External"/><Relationship Id="rId742" Type="http://schemas.openxmlformats.org/officeDocument/2006/relationships/hyperlink" Target="mailto:contact@bloomthis.co" TargetMode="External"/><Relationship Id="rId1165" Type="http://schemas.openxmlformats.org/officeDocument/2006/relationships/hyperlink" Target="https://www.poweredlocal.com.au/" TargetMode="External"/><Relationship Id="rId1372" Type="http://schemas.openxmlformats.org/officeDocument/2006/relationships/hyperlink" Target="https://www.tamoco.com/" TargetMode="External"/><Relationship Id="rId602" Type="http://schemas.openxmlformats.org/officeDocument/2006/relationships/hyperlink" Target="https://www.techinasia.com/jobs/7b1521c5-2f7c-4058-ab67-a3fa9d324f42" TargetMode="External"/><Relationship Id="rId1025" Type="http://schemas.openxmlformats.org/officeDocument/2006/relationships/hyperlink" Target="https://www.linkedin.com/company/pest-pulse/" TargetMode="External"/><Relationship Id="rId1232" Type="http://schemas.openxmlformats.org/officeDocument/2006/relationships/hyperlink" Target="mailto:kontakt@orda-app.com" TargetMode="External"/><Relationship Id="rId907" Type="http://schemas.openxmlformats.org/officeDocument/2006/relationships/hyperlink" Target="mailto:FabrizioBianchi@b2book.net" TargetMode="External"/><Relationship Id="rId36" Type="http://schemas.openxmlformats.org/officeDocument/2006/relationships/hyperlink" Target="http://www.tanzire.co/" TargetMode="External"/><Relationship Id="rId185" Type="http://schemas.openxmlformats.org/officeDocument/2006/relationships/hyperlink" Target="https://www.techinasia.com/jobs/f4149228-6b06-4628-ad1b-5a725e812382" TargetMode="External"/><Relationship Id="rId392" Type="http://schemas.openxmlformats.org/officeDocument/2006/relationships/hyperlink" Target="https://token.discourze.com/" TargetMode="External"/><Relationship Id="rId697" Type="http://schemas.openxmlformats.org/officeDocument/2006/relationships/hyperlink" Target="mailto:Paul@amplifyintelligence.com" TargetMode="External"/><Relationship Id="rId252" Type="http://schemas.openxmlformats.org/officeDocument/2006/relationships/hyperlink" Target="mailto:t.Tran@archangel.im" TargetMode="External"/><Relationship Id="rId1187" Type="http://schemas.openxmlformats.org/officeDocument/2006/relationships/hyperlink" Target="https://workinstartups.com/job-board/job/73580/developer-to-help-improve-shopify-store-at-a-little-find/" TargetMode="External"/><Relationship Id="rId112" Type="http://schemas.openxmlformats.org/officeDocument/2006/relationships/hyperlink" Target="mailto:Gautam@actigage.com" TargetMode="External"/><Relationship Id="rId557" Type="http://schemas.openxmlformats.org/officeDocument/2006/relationships/hyperlink" Target="mailto:info@myliane.com" TargetMode="External"/><Relationship Id="rId764" Type="http://schemas.openxmlformats.org/officeDocument/2006/relationships/hyperlink" Target="https://www.f6s.com/jobs/37347/meeduca/cto-co-founder" TargetMode="External"/><Relationship Id="rId971" Type="http://schemas.openxmlformats.org/officeDocument/2006/relationships/hyperlink" Target="mailto:hello@my1min.com" TargetMode="External"/><Relationship Id="rId1394" Type="http://schemas.openxmlformats.org/officeDocument/2006/relationships/hyperlink" Target="https://www.linkedin.com/company/aquila-logic/?originalSubdomain=in" TargetMode="External"/><Relationship Id="rId417" Type="http://schemas.openxmlformats.org/officeDocument/2006/relationships/hyperlink" Target="https://www.linkedin.com/in/johnsonhuanfongkoh/" TargetMode="External"/><Relationship Id="rId624" Type="http://schemas.openxmlformats.org/officeDocument/2006/relationships/hyperlink" Target="https://www.linkedin.com/in/dr-tzyy-jiun-tai-717a7a15b/" TargetMode="External"/><Relationship Id="rId831" Type="http://schemas.openxmlformats.org/officeDocument/2006/relationships/hyperlink" Target="https://www.linkedin.com/company/mybitwallet/?originalSubdomain=sg" TargetMode="External"/><Relationship Id="rId1047" Type="http://schemas.openxmlformats.org/officeDocument/2006/relationships/hyperlink" Target="mailto:idpnneedonethanks@gmail.com" TargetMode="External"/><Relationship Id="rId1254" Type="http://schemas.openxmlformats.org/officeDocument/2006/relationships/hyperlink" Target="https://squirrel.me/" TargetMode="External"/><Relationship Id="rId929" Type="http://schemas.openxmlformats.org/officeDocument/2006/relationships/hyperlink" Target="mailto:Ahmet@tazesef.com" TargetMode="External"/><Relationship Id="rId1114" Type="http://schemas.openxmlformats.org/officeDocument/2006/relationships/hyperlink" Target="mailto:gregory@3DApartment.com%20/" TargetMode="External"/><Relationship Id="rId1321" Type="http://schemas.openxmlformats.org/officeDocument/2006/relationships/hyperlink" Target="https://www.linkedin.com/company/causalens/" TargetMode="External"/><Relationship Id="rId58" Type="http://schemas.openxmlformats.org/officeDocument/2006/relationships/hyperlink" Target="https://www.alemhealth.com/" TargetMode="External"/><Relationship Id="rId274" Type="http://schemas.openxmlformats.org/officeDocument/2006/relationships/hyperlink" Target="https://www.linkedin.com/company/goparkr/" TargetMode="External"/><Relationship Id="rId481" Type="http://schemas.openxmlformats.org/officeDocument/2006/relationships/hyperlink" Target="https://www.linkedin.com/company/letmepark/" TargetMode="External"/><Relationship Id="rId134" Type="http://schemas.openxmlformats.org/officeDocument/2006/relationships/hyperlink" Target="https://www.linkedin.com/company/fatfish-group/" TargetMode="External"/><Relationship Id="rId579" Type="http://schemas.openxmlformats.org/officeDocument/2006/relationships/hyperlink" Target="mailto:Dario.Scarcella@capexmove.io" TargetMode="External"/><Relationship Id="rId786" Type="http://schemas.openxmlformats.org/officeDocument/2006/relationships/hyperlink" Target="https://premia.network/" TargetMode="External"/><Relationship Id="rId993" Type="http://schemas.openxmlformats.org/officeDocument/2006/relationships/hyperlink" Target="mailto:djema@iwoop.com" TargetMode="External"/><Relationship Id="rId341" Type="http://schemas.openxmlformats.org/officeDocument/2006/relationships/hyperlink" Target="https://awallet.io/" TargetMode="External"/><Relationship Id="rId439" Type="http://schemas.openxmlformats.org/officeDocument/2006/relationships/hyperlink" Target="https://www.techinasia.com/jobs/1d0be535-8c36-40b9-a4a1-aafc5b924488" TargetMode="External"/><Relationship Id="rId646" Type="http://schemas.openxmlformats.org/officeDocument/2006/relationships/hyperlink" Target="http://startupjobs.asia/job/39045-web-developer-part-time-front-end-developers-durrows-pte-ltd-singapore" TargetMode="External"/><Relationship Id="rId1069" Type="http://schemas.openxmlformats.org/officeDocument/2006/relationships/hyperlink" Target="https://www.contaxer.com/" TargetMode="External"/><Relationship Id="rId1276" Type="http://schemas.openxmlformats.org/officeDocument/2006/relationships/hyperlink" Target="https://www.linkedin.com/company/xinfin/" TargetMode="External"/><Relationship Id="rId201" Type="http://schemas.openxmlformats.org/officeDocument/2006/relationships/hyperlink" Target="https://actively.ai/" TargetMode="External"/><Relationship Id="rId506" Type="http://schemas.openxmlformats.org/officeDocument/2006/relationships/hyperlink" Target="http://www.thehourglass.com/" TargetMode="External"/><Relationship Id="rId853" Type="http://schemas.openxmlformats.org/officeDocument/2006/relationships/hyperlink" Target="http://fcdacameroon.org/" TargetMode="External"/><Relationship Id="rId1136" Type="http://schemas.openxmlformats.org/officeDocument/2006/relationships/hyperlink" Target="mailto:support@vita.net.my" TargetMode="External"/><Relationship Id="rId713" Type="http://schemas.openxmlformats.org/officeDocument/2006/relationships/hyperlink" Target="mailto:Saad.jan@issme.ca" TargetMode="External"/><Relationship Id="rId920" Type="http://schemas.openxmlformats.org/officeDocument/2006/relationships/hyperlink" Target="mailto:info@knowlers.com" TargetMode="External"/><Relationship Id="rId1343" Type="http://schemas.openxmlformats.org/officeDocument/2006/relationships/hyperlink" Target="https://scape.io/" TargetMode="External"/><Relationship Id="rId1203" Type="http://schemas.openxmlformats.org/officeDocument/2006/relationships/hyperlink" Target="mailto:contact@propinecapital.com" TargetMode="External"/><Relationship Id="rId1410" Type="http://schemas.openxmlformats.org/officeDocument/2006/relationships/hyperlink" Target="https://www.linkedin.com/company/arctoris/" TargetMode="External"/><Relationship Id="rId296" Type="http://schemas.openxmlformats.org/officeDocument/2006/relationships/hyperlink" Target="https://www.linkedin.com/company/see-mode-technologies/" TargetMode="External"/><Relationship Id="rId156" Type="http://schemas.openxmlformats.org/officeDocument/2006/relationships/hyperlink" Target="http://startupjobs.asia/job/38509-backend-developer-back-end-developers-uhoo-hong-kong" TargetMode="External"/><Relationship Id="rId363" Type="http://schemas.openxmlformats.org/officeDocument/2006/relationships/hyperlink" Target="https://www.f6s.com/jobs/36662/creatorus/web-designer" TargetMode="External"/><Relationship Id="rId570" Type="http://schemas.openxmlformats.org/officeDocument/2006/relationships/hyperlink" Target="https://www.linkedin.com/company/elementus.io/" TargetMode="External"/><Relationship Id="rId223" Type="http://schemas.openxmlformats.org/officeDocument/2006/relationships/hyperlink" Target="mailto:enquiry@codigeeks.com" TargetMode="External"/><Relationship Id="rId430" Type="http://schemas.openxmlformats.org/officeDocument/2006/relationships/hyperlink" Target="http://startupjobs.asia/job/38753-fullstack-developer-it-plato-medical-singapore" TargetMode="External"/><Relationship Id="rId668" Type="http://schemas.openxmlformats.org/officeDocument/2006/relationships/hyperlink" Target="mailto:support@carmen.sg" TargetMode="External"/><Relationship Id="rId875" Type="http://schemas.openxmlformats.org/officeDocument/2006/relationships/hyperlink" Target="https://www.f6s.com/jobs/37579/neverfiat/cto" TargetMode="External"/><Relationship Id="rId1060" Type="http://schemas.openxmlformats.org/officeDocument/2006/relationships/hyperlink" Target="mailto:hello@hapz.com" TargetMode="External"/><Relationship Id="rId1298" Type="http://schemas.openxmlformats.org/officeDocument/2006/relationships/hyperlink" Target="mailto:Isabella.Degen@ayudaheuristics.com" TargetMode="External"/><Relationship Id="rId528" Type="http://schemas.openxmlformats.org/officeDocument/2006/relationships/hyperlink" Target="https://appvia.io/" TargetMode="External"/><Relationship Id="rId735" Type="http://schemas.openxmlformats.org/officeDocument/2006/relationships/hyperlink" Target="https://www.linkedin.com/company/virtubio/" TargetMode="External"/><Relationship Id="rId942" Type="http://schemas.openxmlformats.org/officeDocument/2006/relationships/hyperlink" Target="https://www.f6s.com/jobs/37396/radionet.me/head-of-development" TargetMode="External"/><Relationship Id="rId1158" Type="http://schemas.openxmlformats.org/officeDocument/2006/relationships/hyperlink" Target="https://www.ultra-iot.com/" TargetMode="External"/><Relationship Id="rId1365" Type="http://schemas.openxmlformats.org/officeDocument/2006/relationships/hyperlink" Target="http://www.surfboardapp.co/" TargetMode="External"/><Relationship Id="rId1018" Type="http://schemas.openxmlformats.org/officeDocument/2006/relationships/hyperlink" Target="https://www.robophysio.com/" TargetMode="External"/><Relationship Id="rId1225" Type="http://schemas.openxmlformats.org/officeDocument/2006/relationships/hyperlink" Target="https://www.f6s.com/jobs/38464/hpacoin/ios-and-android-app-development" TargetMode="External"/><Relationship Id="rId71" Type="http://schemas.openxmlformats.org/officeDocument/2006/relationships/hyperlink" Target="mailto:emily@upleap.com" TargetMode="External"/><Relationship Id="rId802" Type="http://schemas.openxmlformats.org/officeDocument/2006/relationships/hyperlink" Target="http://startupjobs.asia/job/39773-full-stack-web-developer-it-hook-coffee-singapore" TargetMode="External"/><Relationship Id="rId29" Type="http://schemas.openxmlformats.org/officeDocument/2006/relationships/hyperlink" Target="https://www.devmob.com/" TargetMode="External"/><Relationship Id="rId178" Type="http://schemas.openxmlformats.org/officeDocument/2006/relationships/hyperlink" Target="https://www.linkedin.com/company/point-hacks/" TargetMode="External"/><Relationship Id="rId385" Type="http://schemas.openxmlformats.org/officeDocument/2006/relationships/hyperlink" Target="https://www.f6s.com/jobs/36492/kopernio/senior-front-end-developer" TargetMode="External"/><Relationship Id="rId592" Type="http://schemas.openxmlformats.org/officeDocument/2006/relationships/hyperlink" Target="mailto:enquiries@manjalabs.com" TargetMode="External"/><Relationship Id="rId245" Type="http://schemas.openxmlformats.org/officeDocument/2006/relationships/hyperlink" Target="https://presnsr.com/" TargetMode="External"/><Relationship Id="rId452" Type="http://schemas.openxmlformats.org/officeDocument/2006/relationships/hyperlink" Target="https://www.techinasia.com/jobs/eb8e5816-2b1c-4472-a2be-70c843e321aa" TargetMode="External"/><Relationship Id="rId897" Type="http://schemas.openxmlformats.org/officeDocument/2006/relationships/hyperlink" Target="mailto:ludwig@qvsta.com" TargetMode="External"/><Relationship Id="rId1082" Type="http://schemas.openxmlformats.org/officeDocument/2006/relationships/hyperlink" Target="https://www.f6s.com/jobs/37783/moneymall/tech-lead" TargetMode="External"/><Relationship Id="rId105" Type="http://schemas.openxmlformats.org/officeDocument/2006/relationships/hyperlink" Target="http://startupjobs.asia/job/38113-front-end-developer-singapore-myanmar-it-bescene-singapore" TargetMode="External"/><Relationship Id="rId312" Type="http://schemas.openxmlformats.org/officeDocument/2006/relationships/hyperlink" Target="https://www.linkedin.com/company/jingle.market/" TargetMode="External"/><Relationship Id="rId757" Type="http://schemas.openxmlformats.org/officeDocument/2006/relationships/hyperlink" Target="https://capitalbay.com.my/" TargetMode="External"/><Relationship Id="rId964" Type="http://schemas.openxmlformats.org/officeDocument/2006/relationships/hyperlink" Target="mailto:info@splittypay.it" TargetMode="External"/><Relationship Id="rId1387" Type="http://schemas.openxmlformats.org/officeDocument/2006/relationships/hyperlink" Target="https://www.linkedin.com/company/nimbla/" TargetMode="External"/><Relationship Id="rId93" Type="http://schemas.openxmlformats.org/officeDocument/2006/relationships/hyperlink" Target="https://www.linkedin.com/in/nik-izwan-kamel-5a391183/" TargetMode="External"/><Relationship Id="rId617" Type="http://schemas.openxmlformats.org/officeDocument/2006/relationships/hyperlink" Target="https://the2uo.com/" TargetMode="External"/><Relationship Id="rId824" Type="http://schemas.openxmlformats.org/officeDocument/2006/relationships/hyperlink" Target="https://www.techinasia.com/jobs/b98ce0a3-955d-4b4b-a248-d389442e02d1" TargetMode="External"/><Relationship Id="rId1247" Type="http://schemas.openxmlformats.org/officeDocument/2006/relationships/hyperlink" Target="https://workinstartups.com/job-board/job/73661/full-stack-developer-at-nimbla-at-nimbla/" TargetMode="External"/><Relationship Id="rId1107" Type="http://schemas.openxmlformats.org/officeDocument/2006/relationships/hyperlink" Target="https://www.linkedin.com/company/pharmavgate-academy/" TargetMode="External"/><Relationship Id="rId1314" Type="http://schemas.openxmlformats.org/officeDocument/2006/relationships/hyperlink" Target="https://www.linkedin.com/company/ciq-group/" TargetMode="External"/><Relationship Id="rId20" Type="http://schemas.openxmlformats.org/officeDocument/2006/relationships/hyperlink" Target="mailto:peter@sevensict.nl" TargetMode="External"/><Relationship Id="rId267" Type="http://schemas.openxmlformats.org/officeDocument/2006/relationships/hyperlink" Target="mailto:fawaz@b-hive.com" TargetMode="External"/><Relationship Id="rId474" Type="http://schemas.openxmlformats.org/officeDocument/2006/relationships/hyperlink" Target="mailto:Alan.John@sendforensics.com" TargetMode="External"/><Relationship Id="rId127" Type="http://schemas.openxmlformats.org/officeDocument/2006/relationships/hyperlink" Target="mailto:hello@haulio.io" TargetMode="External"/><Relationship Id="rId681" Type="http://schemas.openxmlformats.org/officeDocument/2006/relationships/hyperlink" Target="mailto:info@trueai.io" TargetMode="External"/><Relationship Id="rId779" Type="http://schemas.openxmlformats.org/officeDocument/2006/relationships/hyperlink" Target="https://www.monkee.rocks/" TargetMode="External"/><Relationship Id="rId986" Type="http://schemas.openxmlformats.org/officeDocument/2006/relationships/hyperlink" Target="https://www.linkedin.com/company/avenue8/" TargetMode="External"/><Relationship Id="rId334" Type="http://schemas.openxmlformats.org/officeDocument/2006/relationships/hyperlink" Target="https://www.linkedin.com/company/sensorflow/" TargetMode="External"/><Relationship Id="rId541" Type="http://schemas.openxmlformats.org/officeDocument/2006/relationships/hyperlink" Target="mailto:Toine@payrollpanda.my" TargetMode="External"/><Relationship Id="rId639" Type="http://schemas.openxmlformats.org/officeDocument/2006/relationships/hyperlink" Target="mailto:erin@accela.asia" TargetMode="External"/><Relationship Id="rId1171" Type="http://schemas.openxmlformats.org/officeDocument/2006/relationships/hyperlink" Target="mailto:okamoto@medmain.net" TargetMode="External"/><Relationship Id="rId1269" Type="http://schemas.openxmlformats.org/officeDocument/2006/relationships/hyperlink" Target="https://www.sportpursuit.com/" TargetMode="External"/><Relationship Id="rId401" Type="http://schemas.openxmlformats.org/officeDocument/2006/relationships/hyperlink" Target="https://angel.co/oak-eco-technologies" TargetMode="External"/><Relationship Id="rId846" Type="http://schemas.openxmlformats.org/officeDocument/2006/relationships/hyperlink" Target="mailto:hello@kotacreative.co.uk" TargetMode="External"/><Relationship Id="rId1031" Type="http://schemas.openxmlformats.org/officeDocument/2006/relationships/hyperlink" Target="https://angel.co/crowdmap_io" TargetMode="External"/><Relationship Id="rId1129" Type="http://schemas.openxmlformats.org/officeDocument/2006/relationships/hyperlink" Target="https://www.f6s.com/jobs/38253/avnt/c-developer-augmented-reality" TargetMode="External"/><Relationship Id="rId706" Type="http://schemas.openxmlformats.org/officeDocument/2006/relationships/hyperlink" Target="http://transpooler.com/" TargetMode="External"/><Relationship Id="rId913" Type="http://schemas.openxmlformats.org/officeDocument/2006/relationships/hyperlink" Target="mailto:info@quanode.com" TargetMode="External"/><Relationship Id="rId1336" Type="http://schemas.openxmlformats.org/officeDocument/2006/relationships/hyperlink" Target="http://www.bakkaldan.com/" TargetMode="External"/><Relationship Id="rId42" Type="http://schemas.openxmlformats.org/officeDocument/2006/relationships/hyperlink" Target="http://startupjobs.asia/job/38216-software-developer-angular-cordova-ionic-it-deemples-golf-malaysia" TargetMode="External"/><Relationship Id="rId1403" Type="http://schemas.openxmlformats.org/officeDocument/2006/relationships/hyperlink" Target="https://www.linkedin.com/company/primefactorcapital/" TargetMode="External"/><Relationship Id="rId191" Type="http://schemas.openxmlformats.org/officeDocument/2006/relationships/hyperlink" Target="https://www.cloudaron.com/" TargetMode="External"/><Relationship Id="rId289" Type="http://schemas.openxmlformats.org/officeDocument/2006/relationships/hyperlink" Target="https://ppcprotect.com/" TargetMode="External"/><Relationship Id="rId496" Type="http://schemas.openxmlformats.org/officeDocument/2006/relationships/hyperlink" Target="https://vesto.me/" TargetMode="External"/><Relationship Id="rId149" Type="http://schemas.openxmlformats.org/officeDocument/2006/relationships/hyperlink" Target="http://startupjobs.asia/job/38379-full-stack-developer-it-bereev-malaysia" TargetMode="External"/><Relationship Id="rId356" Type="http://schemas.openxmlformats.org/officeDocument/2006/relationships/hyperlink" Target="https://www.f6s.com/jobs/36674/feedeos/ios-ui-designer" TargetMode="External"/><Relationship Id="rId563" Type="http://schemas.openxmlformats.org/officeDocument/2006/relationships/hyperlink" Target="https://www.f6s.com/jobs/36815/muchobycook-incompanylimited/full-stack-developer" TargetMode="External"/><Relationship Id="rId770" Type="http://schemas.openxmlformats.org/officeDocument/2006/relationships/hyperlink" Target="https://www.getmucho.com/" TargetMode="External"/><Relationship Id="rId1193" Type="http://schemas.openxmlformats.org/officeDocument/2006/relationships/hyperlink" Target="https://www.incentivegames.com/" TargetMode="External"/><Relationship Id="rId216" Type="http://schemas.openxmlformats.org/officeDocument/2006/relationships/hyperlink" Target="https://www.linkedin.com/in/jack-lok-ba7b254/" TargetMode="External"/><Relationship Id="rId423" Type="http://schemas.openxmlformats.org/officeDocument/2006/relationships/hyperlink" Target="https://passkit.com/" TargetMode="External"/><Relationship Id="rId868" Type="http://schemas.openxmlformats.org/officeDocument/2006/relationships/hyperlink" Target="mailto:Julian@ilao.co" TargetMode="External"/><Relationship Id="rId1053" Type="http://schemas.openxmlformats.org/officeDocument/2006/relationships/hyperlink" Target="mailto:admin@doctorxdentist.com" TargetMode="External"/><Relationship Id="rId1260" Type="http://schemas.openxmlformats.org/officeDocument/2006/relationships/hyperlink" Target="https://www.migacore.com/" TargetMode="External"/><Relationship Id="rId630" Type="http://schemas.openxmlformats.org/officeDocument/2006/relationships/hyperlink" Target="http://www.eunoia.asia/" TargetMode="External"/><Relationship Id="rId728" Type="http://schemas.openxmlformats.org/officeDocument/2006/relationships/hyperlink" Target="https://www.f6s.com/jobs/37154/tiba/cio-cto" TargetMode="External"/><Relationship Id="rId935" Type="http://schemas.openxmlformats.org/officeDocument/2006/relationships/hyperlink" Target="https://www.f6s.com/jobs/37413/ottoo/full-stack-developer" TargetMode="External"/><Relationship Id="rId1358" Type="http://schemas.openxmlformats.org/officeDocument/2006/relationships/hyperlink" Target="mailto:info@betasight.com" TargetMode="External"/><Relationship Id="rId64" Type="http://schemas.openxmlformats.org/officeDocument/2006/relationships/hyperlink" Target="https://inventrik.com/" TargetMode="External"/><Relationship Id="rId1120" Type="http://schemas.openxmlformats.org/officeDocument/2006/relationships/hyperlink" Target="https://www.linkedin.com/company/koistorystudio/" TargetMode="External"/><Relationship Id="rId1218" Type="http://schemas.openxmlformats.org/officeDocument/2006/relationships/hyperlink" Target="https://www.linkedin.com/company/mobileone-technology-sdn-bhd/" TargetMode="External"/><Relationship Id="rId280" Type="http://schemas.openxmlformats.org/officeDocument/2006/relationships/hyperlink" Target="https://www.linkedin.com/company/skedda/" TargetMode="External"/><Relationship Id="rId140" Type="http://schemas.openxmlformats.org/officeDocument/2006/relationships/hyperlink" Target="mailto:Asyrique@vase.ai" TargetMode="External"/><Relationship Id="rId378" Type="http://schemas.openxmlformats.org/officeDocument/2006/relationships/hyperlink" Target="https://hireflows.com/" TargetMode="External"/><Relationship Id="rId585" Type="http://schemas.openxmlformats.org/officeDocument/2006/relationships/hyperlink" Target="https://angel.co/kiprotect" TargetMode="External"/><Relationship Id="rId792" Type="http://schemas.openxmlformats.org/officeDocument/2006/relationships/hyperlink" Target="mailto:sales@radioactive.sg" TargetMode="External"/><Relationship Id="rId6" Type="http://schemas.openxmlformats.org/officeDocument/2006/relationships/hyperlink" Target="https://www.linkedin.com/company/first-page-pte-ltd/" TargetMode="External"/><Relationship Id="rId238" Type="http://schemas.openxmlformats.org/officeDocument/2006/relationships/hyperlink" Target="mailto:admin@spotworks.com.sg" TargetMode="External"/><Relationship Id="rId445" Type="http://schemas.openxmlformats.org/officeDocument/2006/relationships/hyperlink" Target="mailto:IndustrialElectronics1986@gmail.com" TargetMode="External"/><Relationship Id="rId652" Type="http://schemas.openxmlformats.org/officeDocument/2006/relationships/hyperlink" Target="https://www.akeles.com/" TargetMode="External"/><Relationship Id="rId1075" Type="http://schemas.openxmlformats.org/officeDocument/2006/relationships/hyperlink" Target="mailto:Saif@theishu.com" TargetMode="External"/><Relationship Id="rId1282" Type="http://schemas.openxmlformats.org/officeDocument/2006/relationships/hyperlink" Target="https://www.techinasia.com/jobs/cfb7d7f0-3bcd-480e-a720-57f1adf6421f" TargetMode="External"/><Relationship Id="rId305" Type="http://schemas.openxmlformats.org/officeDocument/2006/relationships/hyperlink" Target="mailto:qcryptoweb@gmail.com" TargetMode="External"/><Relationship Id="rId512" Type="http://schemas.openxmlformats.org/officeDocument/2006/relationships/hyperlink" Target="http://www.tribo.io/" TargetMode="External"/><Relationship Id="rId957" Type="http://schemas.openxmlformats.org/officeDocument/2006/relationships/hyperlink" Target="https://www.linkedin.com/company/pirsonal/" TargetMode="External"/><Relationship Id="rId1142" Type="http://schemas.openxmlformats.org/officeDocument/2006/relationships/hyperlink" Target="https://www.f6s.com/jobs/38433/streetlife/full-stack-developer" TargetMode="External"/><Relationship Id="rId86" Type="http://schemas.openxmlformats.org/officeDocument/2006/relationships/hyperlink" Target="https://www.f6s.com/jobs/35893/afterschoolnigeria/android-app-developer" TargetMode="External"/><Relationship Id="rId817" Type="http://schemas.openxmlformats.org/officeDocument/2006/relationships/hyperlink" Target="https://www.datavis.sg/" TargetMode="External"/><Relationship Id="rId1002" Type="http://schemas.openxmlformats.org/officeDocument/2006/relationships/hyperlink" Target="mailto:info@7c-labs.com" TargetMode="External"/><Relationship Id="rId1307" Type="http://schemas.openxmlformats.org/officeDocument/2006/relationships/hyperlink" Target="https://workinstartups.com/job-board/job/73533/lead-engineer-php-at-coinzettle/" TargetMode="External"/><Relationship Id="rId13" Type="http://schemas.openxmlformats.org/officeDocument/2006/relationships/hyperlink" Target="https://e27.co/startup/tide-creatives" TargetMode="External"/><Relationship Id="rId162" Type="http://schemas.openxmlformats.org/officeDocument/2006/relationships/hyperlink" Target="https://plasmabank.com/" TargetMode="External"/><Relationship Id="rId467" Type="http://schemas.openxmlformats.org/officeDocument/2006/relationships/hyperlink" Target="https://zynesis.com/" TargetMode="External"/><Relationship Id="rId1097" Type="http://schemas.openxmlformats.org/officeDocument/2006/relationships/hyperlink" Target="https://www.linkedin.com/in/sam-abrika/" TargetMode="External"/><Relationship Id="rId674" Type="http://schemas.openxmlformats.org/officeDocument/2006/relationships/hyperlink" Target="https://www.f6s.com/jobs/37320/luminovo.ai/full-stack-developer" TargetMode="External"/><Relationship Id="rId881" Type="http://schemas.openxmlformats.org/officeDocument/2006/relationships/hyperlink" Target="mailto:Cristiano.Viegas@koobby.com" TargetMode="External"/><Relationship Id="rId979" Type="http://schemas.openxmlformats.org/officeDocument/2006/relationships/hyperlink" Target="https://angel.co/memento-4" TargetMode="External"/><Relationship Id="rId327" Type="http://schemas.openxmlformats.org/officeDocument/2006/relationships/hyperlink" Target="https://www.techinasia.com/jobs/a77848a0-3d09-4939-a5e2-6c86b4cef44e" TargetMode="External"/><Relationship Id="rId534" Type="http://schemas.openxmlformats.org/officeDocument/2006/relationships/hyperlink" Target="https://ultimateboxxer.com/" TargetMode="External"/><Relationship Id="rId741" Type="http://schemas.openxmlformats.org/officeDocument/2006/relationships/hyperlink" Target="https://bloomthis.co/" TargetMode="External"/><Relationship Id="rId839" Type="http://schemas.openxmlformats.org/officeDocument/2006/relationships/hyperlink" Target="http://www.anthonyrschneider.com/" TargetMode="External"/><Relationship Id="rId1164" Type="http://schemas.openxmlformats.org/officeDocument/2006/relationships/hyperlink" Target="mailto:denis@mysenko.com" TargetMode="External"/><Relationship Id="rId1371" Type="http://schemas.openxmlformats.org/officeDocument/2006/relationships/hyperlink" Target="https://workinstartups.com/job-board/job/73290/senior-frontend-developer-reactjs-at-tamoco-limited/" TargetMode="External"/><Relationship Id="rId601" Type="http://schemas.openxmlformats.org/officeDocument/2006/relationships/hyperlink" Target="mailto:Roland.Wee@tourego.com" TargetMode="External"/><Relationship Id="rId1024" Type="http://schemas.openxmlformats.org/officeDocument/2006/relationships/hyperlink" Target="https://angel.co/subsec/jobs/407006-software-engineer-developer" TargetMode="External"/><Relationship Id="rId1231" Type="http://schemas.openxmlformats.org/officeDocument/2006/relationships/hyperlink" Target="mailto:hello@twigdoo.com" TargetMode="External"/><Relationship Id="rId906" Type="http://schemas.openxmlformats.org/officeDocument/2006/relationships/hyperlink" Target="mailto:info@b2book.net" TargetMode="External"/><Relationship Id="rId1329" Type="http://schemas.openxmlformats.org/officeDocument/2006/relationships/hyperlink" Target="https://www.techinasia.com/jobs/b491a167-43bc-42ad-bbdb-76ed0c0308da" TargetMode="External"/><Relationship Id="rId35" Type="http://schemas.openxmlformats.org/officeDocument/2006/relationships/hyperlink" Target="https://www.linkedin.com/company/tanzire/" TargetMode="External"/><Relationship Id="rId184" Type="http://schemas.openxmlformats.org/officeDocument/2006/relationships/hyperlink" Target="mailto:contact@picoded.com" TargetMode="External"/><Relationship Id="rId391" Type="http://schemas.openxmlformats.org/officeDocument/2006/relationships/hyperlink" Target="mailto:Wes.Francis@discourze.com" TargetMode="External"/><Relationship Id="rId251" Type="http://schemas.openxmlformats.org/officeDocument/2006/relationships/hyperlink" Target="https://www.archangel.im/" TargetMode="External"/><Relationship Id="rId489" Type="http://schemas.openxmlformats.org/officeDocument/2006/relationships/hyperlink" Target="https://www.vypno.com/" TargetMode="External"/><Relationship Id="rId696" Type="http://schemas.openxmlformats.org/officeDocument/2006/relationships/hyperlink" Target="mailto:Francesco.Zuccaccia@weedea.com" TargetMode="External"/><Relationship Id="rId349" Type="http://schemas.openxmlformats.org/officeDocument/2006/relationships/hyperlink" Target="https://www.linkedin.com/company/harvestr/" TargetMode="External"/><Relationship Id="rId556" Type="http://schemas.openxmlformats.org/officeDocument/2006/relationships/hyperlink" Target="mailto:Alexander.Lim@cudy.co" TargetMode="External"/><Relationship Id="rId763" Type="http://schemas.openxmlformats.org/officeDocument/2006/relationships/hyperlink" Target="https://www.linkedin.com/company/meeduca/" TargetMode="External"/><Relationship Id="rId1186" Type="http://schemas.openxmlformats.org/officeDocument/2006/relationships/hyperlink" Target="https://www.linkedin.com/company/a-little-find-ltd/" TargetMode="External"/><Relationship Id="rId1393" Type="http://schemas.openxmlformats.org/officeDocument/2006/relationships/hyperlink" Target="https://www.linkedin.com/company/elysian-ai/?originalSubdomain=in" TargetMode="External"/><Relationship Id="rId111" Type="http://schemas.openxmlformats.org/officeDocument/2006/relationships/hyperlink" Target="https://www.linkedin.com/company/actigage/" TargetMode="External"/><Relationship Id="rId209" Type="http://schemas.openxmlformats.org/officeDocument/2006/relationships/hyperlink" Target="http://startupjobs.asia/job/38616-programmer-it-nexasoft-sdn-bhd-malaysia" TargetMode="External"/><Relationship Id="rId416" Type="http://schemas.openxmlformats.org/officeDocument/2006/relationships/hyperlink" Target="mailto:johnsonkoh@inproved.com" TargetMode="External"/><Relationship Id="rId970" Type="http://schemas.openxmlformats.org/officeDocument/2006/relationships/hyperlink" Target="https://angel.co/airplay-tv" TargetMode="External"/><Relationship Id="rId1046" Type="http://schemas.openxmlformats.org/officeDocument/2006/relationships/hyperlink" Target="mailto:manousakiscivil@gmail.com" TargetMode="External"/><Relationship Id="rId1253" Type="http://schemas.openxmlformats.org/officeDocument/2006/relationships/hyperlink" Target="https://workinstartups.com/job-board/job/73630/full-stack-developer-leading-london-fintech-at-squirrel/" TargetMode="External"/><Relationship Id="rId623" Type="http://schemas.openxmlformats.org/officeDocument/2006/relationships/hyperlink" Target="http://www.encoremed.io/" TargetMode="External"/><Relationship Id="rId830" Type="http://schemas.openxmlformats.org/officeDocument/2006/relationships/hyperlink" Target="https://www.mybitwallet.com/" TargetMode="External"/><Relationship Id="rId928" Type="http://schemas.openxmlformats.org/officeDocument/2006/relationships/hyperlink" Target="mailto:destek@tazesef.com" TargetMode="External"/><Relationship Id="rId57" Type="http://schemas.openxmlformats.org/officeDocument/2006/relationships/hyperlink" Target="mailto:connect@lumiere32.sg" TargetMode="External"/><Relationship Id="rId1113" Type="http://schemas.openxmlformats.org/officeDocument/2006/relationships/hyperlink" Target="https://3dapartment.com/" TargetMode="External"/><Relationship Id="rId1320" Type="http://schemas.openxmlformats.org/officeDocument/2006/relationships/hyperlink" Target="mailto:Darko@causalens.com" TargetMode="External"/><Relationship Id="rId273" Type="http://schemas.openxmlformats.org/officeDocument/2006/relationships/hyperlink" Target="mailto:Frank@goparkr.com" TargetMode="External"/><Relationship Id="rId480" Type="http://schemas.openxmlformats.org/officeDocument/2006/relationships/hyperlink" Target="https://www.letmeparkparking.es/" TargetMode="External"/><Relationship Id="rId68" Type="http://schemas.openxmlformats.org/officeDocument/2006/relationships/hyperlink" Target="mailto:juneyong@combinesell.com" TargetMode="External"/><Relationship Id="rId133" Type="http://schemas.openxmlformats.org/officeDocument/2006/relationships/hyperlink" Target="mailto:info@fatfish.co" TargetMode="External"/><Relationship Id="rId340" Type="http://schemas.openxmlformats.org/officeDocument/2006/relationships/hyperlink" Target="mailto:Weiwu.Zhang@awallet.io" TargetMode="External"/><Relationship Id="rId578" Type="http://schemas.openxmlformats.org/officeDocument/2006/relationships/hyperlink" Target="http://www.capexmove.io/" TargetMode="External"/><Relationship Id="rId785" Type="http://schemas.openxmlformats.org/officeDocument/2006/relationships/hyperlink" Target="https://www.f6s.com/jobs/37018/premianetwork/programador" TargetMode="External"/><Relationship Id="rId992" Type="http://schemas.openxmlformats.org/officeDocument/2006/relationships/hyperlink" Target="mailto:info@iwoop.com" TargetMode="External"/><Relationship Id="rId200" Type="http://schemas.openxmlformats.org/officeDocument/2006/relationships/hyperlink" Target="mailto:Mark@actively.ai" TargetMode="External"/><Relationship Id="rId438" Type="http://schemas.openxmlformats.org/officeDocument/2006/relationships/hyperlink" Target="https://www.linkedin.com/company/fomo-pay-pte.-ltd./" TargetMode="External"/><Relationship Id="rId645" Type="http://schemas.openxmlformats.org/officeDocument/2006/relationships/hyperlink" Target="https://www.linkedin.com/company/durrows/" TargetMode="External"/><Relationship Id="rId852" Type="http://schemas.openxmlformats.org/officeDocument/2006/relationships/hyperlink" Target="mailto:info@fcdacameroon.org" TargetMode="External"/><Relationship Id="rId1068" Type="http://schemas.openxmlformats.org/officeDocument/2006/relationships/hyperlink" Target="mailto:Hasan@contaxer.com" TargetMode="External"/><Relationship Id="rId1275" Type="http://schemas.openxmlformats.org/officeDocument/2006/relationships/hyperlink" Target="mailto:hr@travalr.com" TargetMode="External"/><Relationship Id="rId284" Type="http://schemas.openxmlformats.org/officeDocument/2006/relationships/hyperlink" Target="mailto:info@skedda.com" TargetMode="External"/><Relationship Id="rId491" Type="http://schemas.openxmlformats.org/officeDocument/2006/relationships/hyperlink" Target="https://digit.agency/" TargetMode="External"/><Relationship Id="rId505" Type="http://schemas.openxmlformats.org/officeDocument/2006/relationships/hyperlink" Target="https://www.techinasia.com/jobs/df5484c9-6c8c-47aa-916c-6beb8bcbba4d" TargetMode="External"/><Relationship Id="rId712" Type="http://schemas.openxmlformats.org/officeDocument/2006/relationships/hyperlink" Target="https://www.f6s.com/jobs/37233/farmritelimited/software-engineer" TargetMode="External"/><Relationship Id="rId1135" Type="http://schemas.openxmlformats.org/officeDocument/2006/relationships/hyperlink" Target="https://imotorbike.my/" TargetMode="External"/><Relationship Id="rId1342" Type="http://schemas.openxmlformats.org/officeDocument/2006/relationships/hyperlink" Target="https://workinstartups.com/job-board/job/73813/junior-software-engineer-mobile-at-scape-technologies/" TargetMode="External"/><Relationship Id="rId79" Type="http://schemas.openxmlformats.org/officeDocument/2006/relationships/hyperlink" Target="mailto:Mohamad@emagin.ca" TargetMode="External"/><Relationship Id="rId144" Type="http://schemas.openxmlformats.org/officeDocument/2006/relationships/hyperlink" Target="https://www.linkedin.com/company/werebits-sdn-bhd-/" TargetMode="External"/><Relationship Id="rId589" Type="http://schemas.openxmlformats.org/officeDocument/2006/relationships/hyperlink" Target="mailto:amiehu@seafrontmedia.com" TargetMode="External"/><Relationship Id="rId796" Type="http://schemas.openxmlformats.org/officeDocument/2006/relationships/hyperlink" Target="http://startupjobs.asia/job/39774-full-stack-software-developer-full-stack-developer-tenderboard-singapore" TargetMode="External"/><Relationship Id="rId1202" Type="http://schemas.openxmlformats.org/officeDocument/2006/relationships/hyperlink" Target="mailto:zan@propinecapital.com" TargetMode="External"/><Relationship Id="rId351" Type="http://schemas.openxmlformats.org/officeDocument/2006/relationships/hyperlink" Target="https://harvestr.io/" TargetMode="External"/><Relationship Id="rId449" Type="http://schemas.openxmlformats.org/officeDocument/2006/relationships/hyperlink" Target="https://www.techinasia.com/jobs/ee3bad50-fbd1-4650-8ae8-a4629cbdcd20" TargetMode="External"/><Relationship Id="rId656" Type="http://schemas.openxmlformats.org/officeDocument/2006/relationships/hyperlink" Target="mailto:enquiry@oceannexus.my%20/" TargetMode="External"/><Relationship Id="rId863" Type="http://schemas.openxmlformats.org/officeDocument/2006/relationships/hyperlink" Target="https://www.f6s.com/jobs/37605/musiverse/chief-technology-officer" TargetMode="External"/><Relationship Id="rId1079" Type="http://schemas.openxmlformats.org/officeDocument/2006/relationships/hyperlink" Target="mailto:ask@nikunjsoni.in" TargetMode="External"/><Relationship Id="rId1286" Type="http://schemas.openxmlformats.org/officeDocument/2006/relationships/hyperlink" Target="https://www.techinasia.com/jobs/1807804f-2ee2-4fe7-9a05-756bd6beb9be" TargetMode="External"/><Relationship Id="rId211" Type="http://schemas.openxmlformats.org/officeDocument/2006/relationships/hyperlink" Target="mailto:Marcus@tetrium.io" TargetMode="External"/><Relationship Id="rId295" Type="http://schemas.openxmlformats.org/officeDocument/2006/relationships/hyperlink" Target="mailto:Sadaf@see-mode.com" TargetMode="External"/><Relationship Id="rId309" Type="http://schemas.openxmlformats.org/officeDocument/2006/relationships/hyperlink" Target="mailto:hello@jingle.market" TargetMode="External"/><Relationship Id="rId516" Type="http://schemas.openxmlformats.org/officeDocument/2006/relationships/hyperlink" Target="https://www.linkedin.com/in/craig-smith-31aa7922/" TargetMode="External"/><Relationship Id="rId1146" Type="http://schemas.openxmlformats.org/officeDocument/2006/relationships/hyperlink" Target="https://www.linkedin.com/company/quanterium/" TargetMode="External"/><Relationship Id="rId723" Type="http://schemas.openxmlformats.org/officeDocument/2006/relationships/hyperlink" Target="https://www.linkedin.com/in/ljmgardner/" TargetMode="External"/><Relationship Id="rId930" Type="http://schemas.openxmlformats.org/officeDocument/2006/relationships/hyperlink" Target="https://www.linkedin.com/company/tazesef/" TargetMode="External"/><Relationship Id="rId1006" Type="http://schemas.openxmlformats.org/officeDocument/2006/relationships/hyperlink" Target="https://angel.co/7c-laboratories-1" TargetMode="External"/><Relationship Id="rId1353" Type="http://schemas.openxmlformats.org/officeDocument/2006/relationships/hyperlink" Target="https://www.primefactor.capital/" TargetMode="External"/><Relationship Id="rId155" Type="http://schemas.openxmlformats.org/officeDocument/2006/relationships/hyperlink" Target="https://www.linkedin.com/company/uhoo/" TargetMode="External"/><Relationship Id="rId362" Type="http://schemas.openxmlformats.org/officeDocument/2006/relationships/hyperlink" Target="https://www.linkedin.com/in/jacob-magalhaes-7534bb60/" TargetMode="External"/><Relationship Id="rId1213" Type="http://schemas.openxmlformats.org/officeDocument/2006/relationships/hyperlink" Target="mailto:Adrian@upstackstudio.com" TargetMode="External"/><Relationship Id="rId1297" Type="http://schemas.openxmlformats.org/officeDocument/2006/relationships/hyperlink" Target="mailto:simon@nimbla.com" TargetMode="External"/><Relationship Id="rId222" Type="http://schemas.openxmlformats.org/officeDocument/2006/relationships/hyperlink" Target="http://blocklime.com/" TargetMode="External"/><Relationship Id="rId667" Type="http://schemas.openxmlformats.org/officeDocument/2006/relationships/hyperlink" Target="https://carmen.sg/" TargetMode="External"/><Relationship Id="rId874" Type="http://schemas.openxmlformats.org/officeDocument/2006/relationships/hyperlink" Target="https://www.linkedin.com/in/yishayrl/" TargetMode="External"/><Relationship Id="rId17" Type="http://schemas.openxmlformats.org/officeDocument/2006/relationships/hyperlink" Target="https://www.linkedin.com/company/deevoted-llc/" TargetMode="External"/><Relationship Id="rId527" Type="http://schemas.openxmlformats.org/officeDocument/2006/relationships/hyperlink" Target="mailto:info@appvia.io" TargetMode="External"/><Relationship Id="rId734" Type="http://schemas.openxmlformats.org/officeDocument/2006/relationships/hyperlink" Target="mailto:Dusan.svancara@virtub.io" TargetMode="External"/><Relationship Id="rId941" Type="http://schemas.openxmlformats.org/officeDocument/2006/relationships/hyperlink" Target="https://www.linkedin.com/company/radio-net-media/" TargetMode="External"/><Relationship Id="rId1157" Type="http://schemas.openxmlformats.org/officeDocument/2006/relationships/hyperlink" Target="https://www.f6s.com/jobs/38331/ultraiot/senior-software-developer" TargetMode="External"/><Relationship Id="rId1364" Type="http://schemas.openxmlformats.org/officeDocument/2006/relationships/hyperlink" Target="https://www.f6s.com/jobs/38532/surfboardinc/android-development-role" TargetMode="External"/><Relationship Id="rId70" Type="http://schemas.openxmlformats.org/officeDocument/2006/relationships/hyperlink" Target="mailto:oriradix+meteor@gmail.com" TargetMode="External"/><Relationship Id="rId166" Type="http://schemas.openxmlformats.org/officeDocument/2006/relationships/hyperlink" Target="https://www.techinasia.com/jobs/7dc8e920-1c24-44ca-ab7e-0b131413ce7c" TargetMode="External"/><Relationship Id="rId373" Type="http://schemas.openxmlformats.org/officeDocument/2006/relationships/hyperlink" Target="https://www.f6s.com/jobs/36726/itstalk/developer-remote" TargetMode="External"/><Relationship Id="rId580" Type="http://schemas.openxmlformats.org/officeDocument/2006/relationships/hyperlink" Target="https://www.linkedin.com/company/sopinet/" TargetMode="External"/><Relationship Id="rId801" Type="http://schemas.openxmlformats.org/officeDocument/2006/relationships/hyperlink" Target="https://www.linkedin.com/company/hook-coffee/" TargetMode="External"/><Relationship Id="rId1017" Type="http://schemas.openxmlformats.org/officeDocument/2006/relationships/hyperlink" Target="https://angel.co/pacla-medical-1" TargetMode="External"/><Relationship Id="rId1224" Type="http://schemas.openxmlformats.org/officeDocument/2006/relationships/hyperlink" Target="https://www.getclutche.com/" TargetMode="External"/><Relationship Id="rId1" Type="http://schemas.openxmlformats.org/officeDocument/2006/relationships/hyperlink" Target="https://www.linkedin.com/company/thenewmalaya/" TargetMode="External"/><Relationship Id="rId233" Type="http://schemas.openxmlformats.org/officeDocument/2006/relationships/hyperlink" Target="https://www.equity-x.com/" TargetMode="External"/><Relationship Id="rId440" Type="http://schemas.openxmlformats.org/officeDocument/2006/relationships/hyperlink" Target="mailto:sales@fomopay.com" TargetMode="External"/><Relationship Id="rId678" Type="http://schemas.openxmlformats.org/officeDocument/2006/relationships/hyperlink" Target="https://www.f6s.com/jobs/37315/starscowssoccoop1/full-strak-web-developer" TargetMode="External"/><Relationship Id="rId885" Type="http://schemas.openxmlformats.org/officeDocument/2006/relationships/hyperlink" Target="mailto:w.billingsley@aptap.co.uk" TargetMode="External"/><Relationship Id="rId1070" Type="http://schemas.openxmlformats.org/officeDocument/2006/relationships/hyperlink" Target="https://www.linkedin.com/company/contaxer/" TargetMode="External"/><Relationship Id="rId28" Type="http://schemas.openxmlformats.org/officeDocument/2006/relationships/hyperlink" Target="https://www.linkedin.com/company/devmob-bv/" TargetMode="External"/><Relationship Id="rId300" Type="http://schemas.openxmlformats.org/officeDocument/2006/relationships/hyperlink" Target="mailto:NB@novalu.me" TargetMode="External"/><Relationship Id="rId538" Type="http://schemas.openxmlformats.org/officeDocument/2006/relationships/hyperlink" Target="https://angel.co/cript" TargetMode="External"/><Relationship Id="rId745" Type="http://schemas.openxmlformats.org/officeDocument/2006/relationships/hyperlink" Target="mailto:kathy@popa.hk" TargetMode="External"/><Relationship Id="rId952" Type="http://schemas.openxmlformats.org/officeDocument/2006/relationships/hyperlink" Target="http://www.shiroiboushi.net/" TargetMode="External"/><Relationship Id="rId1168" Type="http://schemas.openxmlformats.org/officeDocument/2006/relationships/hyperlink" Target="https://weworkremotely.com/remote-jobs/flowpress-senior-wordpress-developer-1" TargetMode="External"/><Relationship Id="rId1375" Type="http://schemas.openxmlformats.org/officeDocument/2006/relationships/hyperlink" Target="mailto:info@verv.energy" TargetMode="External"/><Relationship Id="rId81" Type="http://schemas.openxmlformats.org/officeDocument/2006/relationships/hyperlink" Target="https://www.f6s.com/jobs/35903/emagininc/full-stack-developer" TargetMode="External"/><Relationship Id="rId177" Type="http://schemas.openxmlformats.org/officeDocument/2006/relationships/hyperlink" Target="mailto:contact@utrum.io" TargetMode="External"/><Relationship Id="rId384" Type="http://schemas.openxmlformats.org/officeDocument/2006/relationships/hyperlink" Target="https://www.linkedin.com/company/kopernio/" TargetMode="External"/><Relationship Id="rId591" Type="http://schemas.openxmlformats.org/officeDocument/2006/relationships/hyperlink" Target="mailto:jessyekong@snsoft.my" TargetMode="External"/><Relationship Id="rId605" Type="http://schemas.openxmlformats.org/officeDocument/2006/relationships/hyperlink" Target="https://www.techinasia.com/jobs/2c24be74-f2a4-49be-be6f-0da8aee97c80" TargetMode="External"/><Relationship Id="rId812" Type="http://schemas.openxmlformats.org/officeDocument/2006/relationships/hyperlink" Target="https://www.techinasia.com/jobs/3116e2a3-f3af-4cda-86e5-1a91169d66ba" TargetMode="External"/><Relationship Id="rId1028" Type="http://schemas.openxmlformats.org/officeDocument/2006/relationships/hyperlink" Target="mailto:info@pestpulse.com" TargetMode="External"/><Relationship Id="rId1235" Type="http://schemas.openxmlformats.org/officeDocument/2006/relationships/hyperlink" Target="mailto:xinyu@aiofitnessuk.com" TargetMode="External"/><Relationship Id="rId244" Type="http://schemas.openxmlformats.org/officeDocument/2006/relationships/hyperlink" Target="https://www.f6s.com/jobs/36467/presnsr/full-stack-developer" TargetMode="External"/><Relationship Id="rId689" Type="http://schemas.openxmlformats.org/officeDocument/2006/relationships/hyperlink" Target="https://www.f6s.com/jobs/37308/moona/stage-d-veloppeur-mobile-hybride-react" TargetMode="External"/><Relationship Id="rId896" Type="http://schemas.openxmlformats.org/officeDocument/2006/relationships/hyperlink" Target="https://www.ninjamoba.com/" TargetMode="External"/><Relationship Id="rId1081" Type="http://schemas.openxmlformats.org/officeDocument/2006/relationships/hyperlink" Target="https://www.linkedin.com/company/money-mall/" TargetMode="External"/><Relationship Id="rId1302" Type="http://schemas.openxmlformats.org/officeDocument/2006/relationships/hyperlink" Target="mailto:contact@gettrik.com" TargetMode="External"/><Relationship Id="rId39" Type="http://schemas.openxmlformats.org/officeDocument/2006/relationships/hyperlink" Target="https://www.linkedin.com/company/deemples/" TargetMode="External"/><Relationship Id="rId451" Type="http://schemas.openxmlformats.org/officeDocument/2006/relationships/hyperlink" Target="mailto:Tee.Chew@seedly.sg" TargetMode="External"/><Relationship Id="rId549" Type="http://schemas.openxmlformats.org/officeDocument/2006/relationships/hyperlink" Target="https://www.doctoranywhere.com/" TargetMode="External"/><Relationship Id="rId756" Type="http://schemas.openxmlformats.org/officeDocument/2006/relationships/hyperlink" Target="mailto:contact@capitalbay.com.my" TargetMode="External"/><Relationship Id="rId1179" Type="http://schemas.openxmlformats.org/officeDocument/2006/relationships/hyperlink" Target="mailto:matt@webpunch12.com" TargetMode="External"/><Relationship Id="rId1386" Type="http://schemas.openxmlformats.org/officeDocument/2006/relationships/hyperlink" Target="https://www.linkedin.com/company/venturist/" TargetMode="External"/><Relationship Id="rId104" Type="http://schemas.openxmlformats.org/officeDocument/2006/relationships/hyperlink" Target="https://www.linkedin.com/company/bescene-app/" TargetMode="External"/><Relationship Id="rId188" Type="http://schemas.openxmlformats.org/officeDocument/2006/relationships/hyperlink" Target="https://www.techinasia.com/jobs/8eb3d15c-2dbc-412d-830e-08d3b75902c3" TargetMode="External"/><Relationship Id="rId311" Type="http://schemas.openxmlformats.org/officeDocument/2006/relationships/hyperlink" Target="https://www.jingle.market/" TargetMode="External"/><Relationship Id="rId395" Type="http://schemas.openxmlformats.org/officeDocument/2006/relationships/hyperlink" Target="mailto:info@futways.com" TargetMode="External"/><Relationship Id="rId409" Type="http://schemas.openxmlformats.org/officeDocument/2006/relationships/hyperlink" Target="http://nevaal.com/" TargetMode="External"/><Relationship Id="rId963" Type="http://schemas.openxmlformats.org/officeDocument/2006/relationships/hyperlink" Target="http://www.vingineers.com/" TargetMode="External"/><Relationship Id="rId1039" Type="http://schemas.openxmlformats.org/officeDocument/2006/relationships/hyperlink" Target="mailto:info@beez.world" TargetMode="External"/><Relationship Id="rId1246" Type="http://schemas.openxmlformats.org/officeDocument/2006/relationships/hyperlink" Target="mailto:ania@nimbla.com" TargetMode="External"/><Relationship Id="rId92" Type="http://schemas.openxmlformats.org/officeDocument/2006/relationships/hyperlink" Target="https://www.ifcontech.com/" TargetMode="External"/><Relationship Id="rId616" Type="http://schemas.openxmlformats.org/officeDocument/2006/relationships/hyperlink" Target="http://startupjobs.asia/job/39407-intern-ux-designer-graphic-designer-ui-ux-thinkcol-hong-kong" TargetMode="External"/><Relationship Id="rId823" Type="http://schemas.openxmlformats.org/officeDocument/2006/relationships/hyperlink" Target="https://www.linkedin.com/in/alanchowhk/" TargetMode="External"/><Relationship Id="rId255" Type="http://schemas.openxmlformats.org/officeDocument/2006/relationships/hyperlink" Target="https://www.f6s.com/jobs/36424/archangelimagingltd/lead-full-stack-web-developer-ai-iot" TargetMode="External"/><Relationship Id="rId462" Type="http://schemas.openxmlformats.org/officeDocument/2006/relationships/hyperlink" Target="mailto:Lionel.Semonin@fourelementscapital.com" TargetMode="External"/><Relationship Id="rId1092" Type="http://schemas.openxmlformats.org/officeDocument/2006/relationships/hyperlink" Target="https://quaira.com/" TargetMode="External"/><Relationship Id="rId1106" Type="http://schemas.openxmlformats.org/officeDocument/2006/relationships/hyperlink" Target="https://angel.co/vr-calm" TargetMode="External"/><Relationship Id="rId1313" Type="http://schemas.openxmlformats.org/officeDocument/2006/relationships/hyperlink" Target="mailto:contact@ciqgroup.com" TargetMode="External"/><Relationship Id="rId1397" Type="http://schemas.openxmlformats.org/officeDocument/2006/relationships/hyperlink" Target="https://www.linkedin.com/company/bakkaldan-internet-hizmetleri-a.%C5%9F./" TargetMode="External"/><Relationship Id="rId115" Type="http://schemas.openxmlformats.org/officeDocument/2006/relationships/hyperlink" Target="https://www.techinasia.com/jobs/2ad167a2-cdb5-414c-a271-ee30cfc2b786" TargetMode="External"/><Relationship Id="rId322" Type="http://schemas.openxmlformats.org/officeDocument/2006/relationships/hyperlink" Target="mailto:marcustoy@mecreativestudio.com" TargetMode="External"/><Relationship Id="rId767" Type="http://schemas.openxmlformats.org/officeDocument/2006/relationships/hyperlink" Target="https://www.linkedin.com/in/krispykrush/" TargetMode="External"/><Relationship Id="rId974" Type="http://schemas.openxmlformats.org/officeDocument/2006/relationships/hyperlink" Target="https://angel.co/my1min" TargetMode="External"/><Relationship Id="rId199" Type="http://schemas.openxmlformats.org/officeDocument/2006/relationships/hyperlink" Target="https://www.groupstar.io/" TargetMode="External"/><Relationship Id="rId627" Type="http://schemas.openxmlformats.org/officeDocument/2006/relationships/hyperlink" Target="https://www.linkedin.com/company/eunoiaasia/" TargetMode="External"/><Relationship Id="rId834" Type="http://schemas.openxmlformats.org/officeDocument/2006/relationships/hyperlink" Target="https://www.linkedin.com/company/spreadsheep/" TargetMode="External"/><Relationship Id="rId1257" Type="http://schemas.openxmlformats.org/officeDocument/2006/relationships/hyperlink" Target="https://sync.money/" TargetMode="External"/><Relationship Id="rId266" Type="http://schemas.openxmlformats.org/officeDocument/2006/relationships/hyperlink" Target="mailto:RVitorino@ubiwhere.com" TargetMode="External"/><Relationship Id="rId473" Type="http://schemas.openxmlformats.org/officeDocument/2006/relationships/hyperlink" Target="https://www.techinasia.com/jobs/63dbfc14-47af-47f4-bccc-6d439fd6b0ab" TargetMode="External"/><Relationship Id="rId680" Type="http://schemas.openxmlformats.org/officeDocument/2006/relationships/hyperlink" Target="https://www.f6s.com/jobs/37311/schema.rocks/junior-full-stack-web-developer" TargetMode="External"/><Relationship Id="rId901" Type="http://schemas.openxmlformats.org/officeDocument/2006/relationships/hyperlink" Target="mailto:info@tg0.co.uk" TargetMode="External"/><Relationship Id="rId1117" Type="http://schemas.openxmlformats.org/officeDocument/2006/relationships/hyperlink" Target="https://bright-angle.com/" TargetMode="External"/><Relationship Id="rId1324" Type="http://schemas.openxmlformats.org/officeDocument/2006/relationships/hyperlink" Target="mailto:info@causalens.com" TargetMode="External"/><Relationship Id="rId30" Type="http://schemas.openxmlformats.org/officeDocument/2006/relationships/hyperlink" Target="mailto:Ian@snapscene.sg" TargetMode="External"/><Relationship Id="rId126" Type="http://schemas.openxmlformats.org/officeDocument/2006/relationships/hyperlink" Target="http://www.haulio.io/" TargetMode="External"/><Relationship Id="rId333" Type="http://schemas.openxmlformats.org/officeDocument/2006/relationships/hyperlink" Target="https://www.sensorflow.co/" TargetMode="External"/><Relationship Id="rId540" Type="http://schemas.openxmlformats.org/officeDocument/2006/relationships/hyperlink" Target="mailto:admin@payrollpanda.my" TargetMode="External"/><Relationship Id="rId778" Type="http://schemas.openxmlformats.org/officeDocument/2006/relationships/hyperlink" Target="https://www.f6s.com/jobs/37068/thestoriesstudio/game-programmer" TargetMode="External"/><Relationship Id="rId985" Type="http://schemas.openxmlformats.org/officeDocument/2006/relationships/hyperlink" Target="https://angel.co/avenue-8-1/jobs/408044-developpeur-front-end" TargetMode="External"/><Relationship Id="rId1170" Type="http://schemas.openxmlformats.org/officeDocument/2006/relationships/hyperlink" Target="mailto:ben@flowpress.com" TargetMode="External"/><Relationship Id="rId638" Type="http://schemas.openxmlformats.org/officeDocument/2006/relationships/hyperlink" Target="https://accela.asia/" TargetMode="External"/><Relationship Id="rId845" Type="http://schemas.openxmlformats.org/officeDocument/2006/relationships/hyperlink" Target="https://www.kotacreative.co.uk/" TargetMode="External"/><Relationship Id="rId1030" Type="http://schemas.openxmlformats.org/officeDocument/2006/relationships/hyperlink" Target="https://www.linkedin.com/company/crowdmap/" TargetMode="External"/><Relationship Id="rId1268" Type="http://schemas.openxmlformats.org/officeDocument/2006/relationships/hyperlink" Target="https://workinstartups.com/job-board/job/73555/junior-full-stack-phpjs-developer-at-sportpursuit/" TargetMode="External"/><Relationship Id="rId277" Type="http://schemas.openxmlformats.org/officeDocument/2006/relationships/hyperlink" Target="https://kopernio.com/" TargetMode="External"/><Relationship Id="rId400" Type="http://schemas.openxmlformats.org/officeDocument/2006/relationships/hyperlink" Target="https://angel.co/golf-hub" TargetMode="External"/><Relationship Id="rId484" Type="http://schemas.openxmlformats.org/officeDocument/2006/relationships/hyperlink" Target="https://angel.co/castella" TargetMode="External"/><Relationship Id="rId705" Type="http://schemas.openxmlformats.org/officeDocument/2006/relationships/hyperlink" Target="https://www.f6s.com/jobs/37293/transpooler/python-django-senior-developer" TargetMode="External"/><Relationship Id="rId1128" Type="http://schemas.openxmlformats.org/officeDocument/2006/relationships/hyperlink" Target="https://www.linkedin.com/company/avnt/" TargetMode="External"/><Relationship Id="rId1335" Type="http://schemas.openxmlformats.org/officeDocument/2006/relationships/hyperlink" Target="mailto:Cem@bakkaldan.com" TargetMode="External"/><Relationship Id="rId137" Type="http://schemas.openxmlformats.org/officeDocument/2006/relationships/hyperlink" Target="https://www.linkedin.com/company/vase-technologies/" TargetMode="External"/><Relationship Id="rId344" Type="http://schemas.openxmlformats.org/officeDocument/2006/relationships/hyperlink" Target="http://www.gowild.sg/" TargetMode="External"/><Relationship Id="rId691" Type="http://schemas.openxmlformats.org/officeDocument/2006/relationships/hyperlink" Target="mailto:coline@getmoona.com" TargetMode="External"/><Relationship Id="rId789" Type="http://schemas.openxmlformats.org/officeDocument/2006/relationships/hyperlink" Target="mailto:Aloysius@radioactive.sg" TargetMode="External"/><Relationship Id="rId912" Type="http://schemas.openxmlformats.org/officeDocument/2006/relationships/hyperlink" Target="https://www.f6s.com/jobs/37461/quanode1/senior-full-stack-developer" TargetMode="External"/><Relationship Id="rId996" Type="http://schemas.openxmlformats.org/officeDocument/2006/relationships/hyperlink" Target="https://angel.co/iwoop" TargetMode="External"/><Relationship Id="rId41" Type="http://schemas.openxmlformats.org/officeDocument/2006/relationships/hyperlink" Target="https://www.linkedin.com/company/stranger-soccer/" TargetMode="External"/><Relationship Id="rId551" Type="http://schemas.openxmlformats.org/officeDocument/2006/relationships/hyperlink" Target="mailto:Rishik@doctoranywhere.com" TargetMode="External"/><Relationship Id="rId649" Type="http://schemas.openxmlformats.org/officeDocument/2006/relationships/hyperlink" Target="https://www.techinasia.com/jobs/3640cf76-df6a-4840-9c29-b5c39dde063e" TargetMode="External"/><Relationship Id="rId856" Type="http://schemas.openxmlformats.org/officeDocument/2006/relationships/hyperlink" Target="https://www.linkedin.com/company/doorsvision/" TargetMode="External"/><Relationship Id="rId1181" Type="http://schemas.openxmlformats.org/officeDocument/2006/relationships/hyperlink" Target="mailto:joinus@altanddot.com" TargetMode="External"/><Relationship Id="rId1279" Type="http://schemas.openxmlformats.org/officeDocument/2006/relationships/hyperlink" Target="mailto:Ankit@xinfin.org" TargetMode="External"/><Relationship Id="rId1402" Type="http://schemas.openxmlformats.org/officeDocument/2006/relationships/hyperlink" Target="https://www.linkedin.com/company/tiney-co/" TargetMode="External"/><Relationship Id="rId190" Type="http://schemas.openxmlformats.org/officeDocument/2006/relationships/hyperlink" Target="mailto:euharn.lee@auk.industries" TargetMode="External"/><Relationship Id="rId204" Type="http://schemas.openxmlformats.org/officeDocument/2006/relationships/hyperlink" Target="http://www.jibble.co/" TargetMode="External"/><Relationship Id="rId288" Type="http://schemas.openxmlformats.org/officeDocument/2006/relationships/hyperlink" Target="mailto:contact@ppcprotect.com" TargetMode="External"/><Relationship Id="rId411" Type="http://schemas.openxmlformats.org/officeDocument/2006/relationships/hyperlink" Target="mailto:info@dextcloud.com" TargetMode="External"/><Relationship Id="rId509" Type="http://schemas.openxmlformats.org/officeDocument/2006/relationships/hyperlink" Target="https://www.techinasia.com/jobs/8022cef0-de93-4b45-ae9f-14c31bffc5dd" TargetMode="External"/><Relationship Id="rId1041" Type="http://schemas.openxmlformats.org/officeDocument/2006/relationships/hyperlink" Target="https://angel.co/beezworld/jobs/403851-engineers-developer-designer" TargetMode="External"/><Relationship Id="rId1139" Type="http://schemas.openxmlformats.org/officeDocument/2006/relationships/hyperlink" Target="http://www.vita.net.my/" TargetMode="External"/><Relationship Id="rId1346" Type="http://schemas.openxmlformats.org/officeDocument/2006/relationships/hyperlink" Target="https://verado.com/" TargetMode="External"/><Relationship Id="rId495" Type="http://schemas.openxmlformats.org/officeDocument/2006/relationships/hyperlink" Target="https://www.linkedin.com/company/vestoapp/" TargetMode="External"/><Relationship Id="rId716" Type="http://schemas.openxmlformats.org/officeDocument/2006/relationships/hyperlink" Target="https://www.issme.ca/" TargetMode="External"/><Relationship Id="rId923" Type="http://schemas.openxmlformats.org/officeDocument/2006/relationships/hyperlink" Target="https://www.f6s.com/jobs/37440/knowlers/technical-co-founder" TargetMode="External"/><Relationship Id="rId52" Type="http://schemas.openxmlformats.org/officeDocument/2006/relationships/hyperlink" Target="mailto:hello@vediohead.com" TargetMode="External"/><Relationship Id="rId148" Type="http://schemas.openxmlformats.org/officeDocument/2006/relationships/hyperlink" Target="https://www.linkedin.com/company/bereev/" TargetMode="External"/><Relationship Id="rId355" Type="http://schemas.openxmlformats.org/officeDocument/2006/relationships/hyperlink" Target="https://www.linkedin.com/company/feedeos/" TargetMode="External"/><Relationship Id="rId562" Type="http://schemas.openxmlformats.org/officeDocument/2006/relationships/hyperlink" Target="https://www.linkedin.com/company/getmucho/" TargetMode="External"/><Relationship Id="rId1192" Type="http://schemas.openxmlformats.org/officeDocument/2006/relationships/hyperlink" Target="https://workinstartups.com/job-board/job/72814/lead-technology-officer-at-incentive-games/" TargetMode="External"/><Relationship Id="rId1206" Type="http://schemas.openxmlformats.org/officeDocument/2006/relationships/hyperlink" Target="http://www.ctrlworks.com/" TargetMode="External"/><Relationship Id="rId215" Type="http://schemas.openxmlformats.org/officeDocument/2006/relationships/hyperlink" Target="mailto:hello@penefit.com" TargetMode="External"/><Relationship Id="rId422" Type="http://schemas.openxmlformats.org/officeDocument/2006/relationships/hyperlink" Target="http://startupjobs.asia/job/38626-frontend-developer-junior-applications-welcome-front-end-developers-passkit-hong-kong" TargetMode="External"/><Relationship Id="rId867" Type="http://schemas.openxmlformats.org/officeDocument/2006/relationships/hyperlink" Target="https://www.bellamaterna.com.br/" TargetMode="External"/><Relationship Id="rId1052" Type="http://schemas.openxmlformats.org/officeDocument/2006/relationships/hyperlink" Target="mailto:info@postco.com.my" TargetMode="External"/><Relationship Id="rId299" Type="http://schemas.openxmlformats.org/officeDocument/2006/relationships/hyperlink" Target="https://www.penefit.com/" TargetMode="External"/><Relationship Id="rId727" Type="http://schemas.openxmlformats.org/officeDocument/2006/relationships/hyperlink" Target="https://www.linkedin.com/company/tibalife/" TargetMode="External"/><Relationship Id="rId934" Type="http://schemas.openxmlformats.org/officeDocument/2006/relationships/hyperlink" Target="https://www.linkedin.com/company/ottoo/" TargetMode="External"/><Relationship Id="rId1357" Type="http://schemas.openxmlformats.org/officeDocument/2006/relationships/hyperlink" Target="mailto:Martin@betasight.com" TargetMode="External"/><Relationship Id="rId63" Type="http://schemas.openxmlformats.org/officeDocument/2006/relationships/hyperlink" Target="https://www.linkedin.com/company/inventrik-pte-ltd/?originalSubdomain=sg" TargetMode="External"/><Relationship Id="rId159" Type="http://schemas.openxmlformats.org/officeDocument/2006/relationships/hyperlink" Target="mailto:IM@plasmabank.com" TargetMode="External"/><Relationship Id="rId366" Type="http://schemas.openxmlformats.org/officeDocument/2006/relationships/hyperlink" Target="https://www.f6s.com/jobs/36646/templaterobot/full-stack-developer" TargetMode="External"/><Relationship Id="rId573" Type="http://schemas.openxmlformats.org/officeDocument/2006/relationships/hyperlink" Target="mailto:hello@elementus.io" TargetMode="External"/><Relationship Id="rId780" Type="http://schemas.openxmlformats.org/officeDocument/2006/relationships/hyperlink" Target="mailto:Michael@vixtape.tv" TargetMode="External"/><Relationship Id="rId1217" Type="http://schemas.openxmlformats.org/officeDocument/2006/relationships/hyperlink" Target="mailto:bennytoh@mobileone.com.my" TargetMode="External"/><Relationship Id="rId226" Type="http://schemas.openxmlformats.org/officeDocument/2006/relationships/hyperlink" Target="mailto:lars@moonassist.com" TargetMode="External"/><Relationship Id="rId433" Type="http://schemas.openxmlformats.org/officeDocument/2006/relationships/hyperlink" Target="mailto:help@contactsdaily.com" TargetMode="External"/><Relationship Id="rId878" Type="http://schemas.openxmlformats.org/officeDocument/2006/relationships/hyperlink" Target="mailto:Timo.Marks@onefid.com" TargetMode="External"/><Relationship Id="rId1063" Type="http://schemas.openxmlformats.org/officeDocument/2006/relationships/hyperlink" Target="https://www.techinasia.com/jobs/cc88fd6d-c381-407b-a223-0add6f35eae6" TargetMode="External"/><Relationship Id="rId1270" Type="http://schemas.openxmlformats.org/officeDocument/2006/relationships/hyperlink" Target="mailto:will@verlocal.com" TargetMode="External"/><Relationship Id="rId640" Type="http://schemas.openxmlformats.org/officeDocument/2006/relationships/hyperlink" Target="mailto:support@mybump.my" TargetMode="External"/><Relationship Id="rId738" Type="http://schemas.openxmlformats.org/officeDocument/2006/relationships/hyperlink" Target="mailto:GidenLim@bloomthis.co" TargetMode="External"/><Relationship Id="rId945" Type="http://schemas.openxmlformats.org/officeDocument/2006/relationships/hyperlink" Target="https://www.linkedin.com/company/consult.law/" TargetMode="External"/><Relationship Id="rId1368" Type="http://schemas.openxmlformats.org/officeDocument/2006/relationships/hyperlink" Target="http://zottomobile.com.br/" TargetMode="External"/><Relationship Id="rId74" Type="http://schemas.openxmlformats.org/officeDocument/2006/relationships/hyperlink" Target="https://upleap.com/" TargetMode="External"/><Relationship Id="rId377" Type="http://schemas.openxmlformats.org/officeDocument/2006/relationships/hyperlink" Target="https://www.f6s.com/jobs/36520/hireflowshr/web-full-stack-developer" TargetMode="External"/><Relationship Id="rId500" Type="http://schemas.openxmlformats.org/officeDocument/2006/relationships/hyperlink" Target="mailto:main@teebtv.com" TargetMode="External"/><Relationship Id="rId584" Type="http://schemas.openxmlformats.org/officeDocument/2006/relationships/hyperlink" Target="https://www.linkedin.com/company/kiprotect/" TargetMode="External"/><Relationship Id="rId805" Type="http://schemas.openxmlformats.org/officeDocument/2006/relationships/hyperlink" Target="https://www.linkedin.com/company/jetzy---travelers-connect/" TargetMode="External"/><Relationship Id="rId1130" Type="http://schemas.openxmlformats.org/officeDocument/2006/relationships/hyperlink" Target="mailto:Finn@avnt.space" TargetMode="External"/><Relationship Id="rId1228" Type="http://schemas.openxmlformats.org/officeDocument/2006/relationships/hyperlink" Target="https://workinstartups.com/job-board/job/73668/python-developer-partfull-stack-early-stage-startup-at-twigdoo/" TargetMode="External"/><Relationship Id="rId5" Type="http://schemas.openxmlformats.org/officeDocument/2006/relationships/hyperlink" Target="mailto:Juvon@firstpage.asia" TargetMode="External"/><Relationship Id="rId237" Type="http://schemas.openxmlformats.org/officeDocument/2006/relationships/hyperlink" Target="https://www.techinasia.com/jobs/cb32ecf2-a585-47ae-b4cf-eb31d0262abd" TargetMode="External"/><Relationship Id="rId791" Type="http://schemas.openxmlformats.org/officeDocument/2006/relationships/hyperlink" Target="http://startupjobs.asia/job/8947-full-stack-software-engineer-radioactive-pte-ltd-singapore" TargetMode="External"/><Relationship Id="rId889" Type="http://schemas.openxmlformats.org/officeDocument/2006/relationships/hyperlink" Target="http://www.gilytics.com/" TargetMode="External"/><Relationship Id="rId1074" Type="http://schemas.openxmlformats.org/officeDocument/2006/relationships/hyperlink" Target="mailto:info@theishu.com" TargetMode="External"/><Relationship Id="rId444" Type="http://schemas.openxmlformats.org/officeDocument/2006/relationships/hyperlink" Target="mailto:Sales@ie-pl.com" TargetMode="External"/><Relationship Id="rId651" Type="http://schemas.openxmlformats.org/officeDocument/2006/relationships/hyperlink" Target="mailto:yashaswi.agrawal@gmail.com" TargetMode="External"/><Relationship Id="rId749" Type="http://schemas.openxmlformats.org/officeDocument/2006/relationships/hyperlink" Target="https://www.synchroweb.com/" TargetMode="External"/><Relationship Id="rId1281" Type="http://schemas.openxmlformats.org/officeDocument/2006/relationships/hyperlink" Target="https://www.linkedin.com/company/logisticsx/" TargetMode="External"/><Relationship Id="rId1379" Type="http://schemas.openxmlformats.org/officeDocument/2006/relationships/hyperlink" Target="https://www.linkedin.com/company/verlocal/" TargetMode="External"/><Relationship Id="rId290" Type="http://schemas.openxmlformats.org/officeDocument/2006/relationships/hyperlink" Target="https://novalu.me/" TargetMode="External"/><Relationship Id="rId304" Type="http://schemas.openxmlformats.org/officeDocument/2006/relationships/hyperlink" Target="https://www.f6s.com/jobs/36316/thedealerapp/full-stack-developer/" TargetMode="External"/><Relationship Id="rId388" Type="http://schemas.openxmlformats.org/officeDocument/2006/relationships/hyperlink" Target="https://fledglink.com/" TargetMode="External"/><Relationship Id="rId511" Type="http://schemas.openxmlformats.org/officeDocument/2006/relationships/hyperlink" Target="mailto:AmieHu@mightcast.com" TargetMode="External"/><Relationship Id="rId609" Type="http://schemas.openxmlformats.org/officeDocument/2006/relationships/hyperlink" Target="mailto:Karen.Fairclough-Ng@grabhaulier.com" TargetMode="External"/><Relationship Id="rId956" Type="http://schemas.openxmlformats.org/officeDocument/2006/relationships/hyperlink" Target="mailto:francoricardo484@gmail.com" TargetMode="External"/><Relationship Id="rId1141" Type="http://schemas.openxmlformats.org/officeDocument/2006/relationships/hyperlink" Target="https://www.linkedin.com/company/streetlifeme/" TargetMode="External"/><Relationship Id="rId1239" Type="http://schemas.openxmlformats.org/officeDocument/2006/relationships/hyperlink" Target="mailto:shane.leonard@stockflare.com" TargetMode="External"/><Relationship Id="rId85" Type="http://schemas.openxmlformats.org/officeDocument/2006/relationships/hyperlink" Target="https://www.linkedin.com/company/requana/" TargetMode="External"/><Relationship Id="rId150" Type="http://schemas.openxmlformats.org/officeDocument/2006/relationships/hyperlink" Target="https://www.linkedin.com/company/omnilytics-analytics/" TargetMode="External"/><Relationship Id="rId595" Type="http://schemas.openxmlformats.org/officeDocument/2006/relationships/hyperlink" Target="http://startupjobs.asia/job/38568-senior-data-scientist-machine-learning-manja-technologies-pte-ltd-singapore" TargetMode="External"/><Relationship Id="rId816" Type="http://schemas.openxmlformats.org/officeDocument/2006/relationships/hyperlink" Target="mailto:hello@datavis.sg" TargetMode="External"/><Relationship Id="rId1001" Type="http://schemas.openxmlformats.org/officeDocument/2006/relationships/hyperlink" Target="mailto:roberto@gabbi.ai" TargetMode="External"/><Relationship Id="rId248" Type="http://schemas.openxmlformats.org/officeDocument/2006/relationships/hyperlink" Target="mailto:Mohamed.warda@CoatConnect.com" TargetMode="External"/><Relationship Id="rId455" Type="http://schemas.openxmlformats.org/officeDocument/2006/relationships/hyperlink" Target="https://www.linkedin.com/company/alphien-pte-ltd/" TargetMode="External"/><Relationship Id="rId662" Type="http://schemas.openxmlformats.org/officeDocument/2006/relationships/hyperlink" Target="mailto:kkoh.jinwei@gmail.com" TargetMode="External"/><Relationship Id="rId1085" Type="http://schemas.openxmlformats.org/officeDocument/2006/relationships/hyperlink" Target="https://www.linkedin.com/company/dotgis/" TargetMode="External"/><Relationship Id="rId1292" Type="http://schemas.openxmlformats.org/officeDocument/2006/relationships/hyperlink" Target="mailto:info@invygo.com" TargetMode="External"/><Relationship Id="rId1306" Type="http://schemas.openxmlformats.org/officeDocument/2006/relationships/hyperlink" Target="https://www.linkedin.com/company/coinzettle/" TargetMode="External"/><Relationship Id="rId12" Type="http://schemas.openxmlformats.org/officeDocument/2006/relationships/hyperlink" Target="https://www.linkedin.com/in/catherineseow/" TargetMode="External"/><Relationship Id="rId108" Type="http://schemas.openxmlformats.org/officeDocument/2006/relationships/hyperlink" Target="http://startupjobs.asia/job/38203-python-developers-back-end-developers-dioworks-learning-sdn-bhd-malaysia" TargetMode="External"/><Relationship Id="rId315" Type="http://schemas.openxmlformats.org/officeDocument/2006/relationships/hyperlink" Target="https://www.linkedin.com/company/qritive/" TargetMode="External"/><Relationship Id="rId522" Type="http://schemas.openxmlformats.org/officeDocument/2006/relationships/hyperlink" Target="https://www.atelierandavenue.com/" TargetMode="External"/><Relationship Id="rId967" Type="http://schemas.openxmlformats.org/officeDocument/2006/relationships/hyperlink" Target="http://www.splittypay.it/" TargetMode="External"/><Relationship Id="rId1152" Type="http://schemas.openxmlformats.org/officeDocument/2006/relationships/hyperlink" Target="mailto:christian-hugo-hoffmann@live.de" TargetMode="External"/><Relationship Id="rId96" Type="http://schemas.openxmlformats.org/officeDocument/2006/relationships/hyperlink" Target="http://startupjobs.asia/job/38242-react-js-developer-it-yedpay-com-hong-kong" TargetMode="External"/><Relationship Id="rId161" Type="http://schemas.openxmlformats.org/officeDocument/2006/relationships/hyperlink" Target="https://www.techinasia.com/jobs/bd50377e-317d-4195-acd2-189fec3f1de4" TargetMode="External"/><Relationship Id="rId399" Type="http://schemas.openxmlformats.org/officeDocument/2006/relationships/hyperlink" Target="mailto:igolfhub@gmail.com" TargetMode="External"/><Relationship Id="rId827" Type="http://schemas.openxmlformats.org/officeDocument/2006/relationships/hyperlink" Target="https://www.techinasia.com/jobs/f06dd30a-12c9-4ae9-be93-04c60411dc57" TargetMode="External"/><Relationship Id="rId1012" Type="http://schemas.openxmlformats.org/officeDocument/2006/relationships/hyperlink" Target="https://angel.co/innerspace-trainings/jobs/405270-unity-developer" TargetMode="External"/><Relationship Id="rId259" Type="http://schemas.openxmlformats.org/officeDocument/2006/relationships/hyperlink" Target="https://www.f6s.com/jobs/36478/igeoliseltd1/remote-web-developer" TargetMode="External"/><Relationship Id="rId466" Type="http://schemas.openxmlformats.org/officeDocument/2006/relationships/hyperlink" Target="https://www.techinasia.com/jobs/2f8ec2b5-fd7d-4b9e-b84b-481d1206ee7f" TargetMode="External"/><Relationship Id="rId673" Type="http://schemas.openxmlformats.org/officeDocument/2006/relationships/hyperlink" Target="https://www.linkedin.com/company/luminovo-ai/" TargetMode="External"/><Relationship Id="rId880" Type="http://schemas.openxmlformats.org/officeDocument/2006/relationships/hyperlink" Target="https://www.f6s.com/jobs/37578/onefidgmbh1/frontend-developer" TargetMode="External"/><Relationship Id="rId1096" Type="http://schemas.openxmlformats.org/officeDocument/2006/relationships/hyperlink" Target="https://cashcoach.co/" TargetMode="External"/><Relationship Id="rId1317" Type="http://schemas.openxmlformats.org/officeDocument/2006/relationships/hyperlink" Target="mailto:info@predina.com" TargetMode="External"/><Relationship Id="rId23" Type="http://schemas.openxmlformats.org/officeDocument/2006/relationships/hyperlink" Target="http://www.cas-ebbers.nl/" TargetMode="External"/><Relationship Id="rId119" Type="http://schemas.openxmlformats.org/officeDocument/2006/relationships/hyperlink" Target="https://www.linkedin.com/company/btinnolab/" TargetMode="External"/><Relationship Id="rId326" Type="http://schemas.openxmlformats.org/officeDocument/2006/relationships/hyperlink" Target="https://www.linkedin.com/company/chainstack/" TargetMode="External"/><Relationship Id="rId533" Type="http://schemas.openxmlformats.org/officeDocument/2006/relationships/hyperlink" Target="mailto:info@ultimateboxxer.com" TargetMode="External"/><Relationship Id="rId978" Type="http://schemas.openxmlformats.org/officeDocument/2006/relationships/hyperlink" Target="https://www.linkedin.com/company/memento-vr/" TargetMode="External"/><Relationship Id="rId1163" Type="http://schemas.openxmlformats.org/officeDocument/2006/relationships/hyperlink" Target="https://sitemate.com/" TargetMode="External"/><Relationship Id="rId1370" Type="http://schemas.openxmlformats.org/officeDocument/2006/relationships/hyperlink" Target="mailto:Rune.Bromer@tamoco.com/Rune@tamoco.com" TargetMode="External"/><Relationship Id="rId740" Type="http://schemas.openxmlformats.org/officeDocument/2006/relationships/hyperlink" Target="http://startupjobs.asia/job/39444-tech-developer-it-bloomthis-malaysia" TargetMode="External"/><Relationship Id="rId838" Type="http://schemas.openxmlformats.org/officeDocument/2006/relationships/hyperlink" Target="mailto:anthonyschneider111@gmail.com" TargetMode="External"/><Relationship Id="rId1023" Type="http://schemas.openxmlformats.org/officeDocument/2006/relationships/hyperlink" Target="https://www.linkedin.com/in/timson/detail/contact-info/" TargetMode="External"/><Relationship Id="rId172" Type="http://schemas.openxmlformats.org/officeDocument/2006/relationships/hyperlink" Target="https://www.linkedin.com/company-beta/10972014/?pathWildcard=10972014" TargetMode="External"/><Relationship Id="rId477" Type="http://schemas.openxmlformats.org/officeDocument/2006/relationships/hyperlink" Target="https://www.sendforensics.com/" TargetMode="External"/><Relationship Id="rId600" Type="http://schemas.openxmlformats.org/officeDocument/2006/relationships/hyperlink" Target="https://www.tourego.com/" TargetMode="External"/><Relationship Id="rId684" Type="http://schemas.openxmlformats.org/officeDocument/2006/relationships/hyperlink" Target="https://www.linkedin.com/company/true-ai/" TargetMode="External"/><Relationship Id="rId1230" Type="http://schemas.openxmlformats.org/officeDocument/2006/relationships/hyperlink" Target="mailto:Matt.Wilson@twigdoo.com" TargetMode="External"/><Relationship Id="rId1328" Type="http://schemas.openxmlformats.org/officeDocument/2006/relationships/hyperlink" Target="mailto:Jteo@besceneapp.com" TargetMode="External"/><Relationship Id="rId337" Type="http://schemas.openxmlformats.org/officeDocument/2006/relationships/hyperlink" Target="http://lomotif.com/" TargetMode="External"/><Relationship Id="rId891" Type="http://schemas.openxmlformats.org/officeDocument/2006/relationships/hyperlink" Target="https://www.linkedin.com/company/gilytics/" TargetMode="External"/><Relationship Id="rId905" Type="http://schemas.openxmlformats.org/officeDocument/2006/relationships/hyperlink" Target="https://www.f6s.com/jobs/37470/tg0/algorithmic-software-engineer-fulltime" TargetMode="External"/><Relationship Id="rId989" Type="http://schemas.openxmlformats.org/officeDocument/2006/relationships/hyperlink" Target="https://angel.co/xtra-playar/jobs/408981-ar-software-engineer-with-project-lead-skills" TargetMode="External"/><Relationship Id="rId34" Type="http://schemas.openxmlformats.org/officeDocument/2006/relationships/hyperlink" Target="mailto:suhani@tanzire.co" TargetMode="External"/><Relationship Id="rId544" Type="http://schemas.openxmlformats.org/officeDocument/2006/relationships/hyperlink" Target="https://remote.co/job/web-developer-9/" TargetMode="External"/><Relationship Id="rId751" Type="http://schemas.openxmlformats.org/officeDocument/2006/relationships/hyperlink" Target="https://www.techinasia.com/jobs/d57f8591-3ccd-4978-8bd9-2d2b3f714f1f" TargetMode="External"/><Relationship Id="rId849" Type="http://schemas.openxmlformats.org/officeDocument/2006/relationships/hyperlink" Target="https://kryptopos.com/" TargetMode="External"/><Relationship Id="rId1174" Type="http://schemas.openxmlformats.org/officeDocument/2006/relationships/hyperlink" Target="https://weworkremotely.com/remote-jobs/webpunch-senior-developer" TargetMode="External"/><Relationship Id="rId1381" Type="http://schemas.openxmlformats.org/officeDocument/2006/relationships/hyperlink" Target="https://www.linkedin.com/company/therapy-box/" TargetMode="External"/><Relationship Id="rId183" Type="http://schemas.openxmlformats.org/officeDocument/2006/relationships/hyperlink" Target="https://picoded.com/" TargetMode="External"/><Relationship Id="rId390" Type="http://schemas.openxmlformats.org/officeDocument/2006/relationships/hyperlink" Target="https://angel.co/fledglink" TargetMode="External"/><Relationship Id="rId404" Type="http://schemas.openxmlformats.org/officeDocument/2006/relationships/hyperlink" Target="http://influencerz.io/" TargetMode="External"/><Relationship Id="rId611" Type="http://schemas.openxmlformats.org/officeDocument/2006/relationships/hyperlink" Target="mailto:westonfrancis@163.com" TargetMode="External"/><Relationship Id="rId1034" Type="http://schemas.openxmlformats.org/officeDocument/2006/relationships/hyperlink" Target="https://www.linkedin.com/in/dr-adam-read-03190455/" TargetMode="External"/><Relationship Id="rId1241" Type="http://schemas.openxmlformats.org/officeDocument/2006/relationships/hyperlink" Target="https://stockflare.com/" TargetMode="External"/><Relationship Id="rId1339" Type="http://schemas.openxmlformats.org/officeDocument/2006/relationships/hyperlink" Target="http://camcheck.fr/" TargetMode="External"/><Relationship Id="rId250" Type="http://schemas.openxmlformats.org/officeDocument/2006/relationships/hyperlink" Target="mailto:info@archangel.im" TargetMode="External"/><Relationship Id="rId488" Type="http://schemas.openxmlformats.org/officeDocument/2006/relationships/hyperlink" Target="https://angel.co/vypno/" TargetMode="External"/><Relationship Id="rId695" Type="http://schemas.openxmlformats.org/officeDocument/2006/relationships/hyperlink" Target="https://www.f6s.com/jobs/37307/weedea/php-developer" TargetMode="External"/><Relationship Id="rId709" Type="http://schemas.openxmlformats.org/officeDocument/2006/relationships/hyperlink" Target="mailto:info@alliedcrowds.com" TargetMode="External"/><Relationship Id="rId916" Type="http://schemas.openxmlformats.org/officeDocument/2006/relationships/hyperlink" Target="mailto:Jacqueline@voomenu.com" TargetMode="External"/><Relationship Id="rId1101" Type="http://schemas.openxmlformats.org/officeDocument/2006/relationships/hyperlink" Target="mailto:Sam.Abrika@gmail.com" TargetMode="External"/><Relationship Id="rId45" Type="http://schemas.openxmlformats.org/officeDocument/2006/relationships/hyperlink" Target="https://coinected.io/" TargetMode="External"/><Relationship Id="rId110" Type="http://schemas.openxmlformats.org/officeDocument/2006/relationships/hyperlink" Target="http://startupjobs.asia/job/38155-senior-back-end-developer-back-end-developers-actigage-india" TargetMode="External"/><Relationship Id="rId348" Type="http://schemas.openxmlformats.org/officeDocument/2006/relationships/hyperlink" Target="mailto:Valentin@harvestr.io" TargetMode="External"/><Relationship Id="rId555" Type="http://schemas.openxmlformats.org/officeDocument/2006/relationships/hyperlink" Target="https://www.cudy.co/" TargetMode="External"/><Relationship Id="rId762" Type="http://schemas.openxmlformats.org/officeDocument/2006/relationships/hyperlink" Target="mailto:Arthur@meeduca.com.br" TargetMode="External"/><Relationship Id="rId1185" Type="http://schemas.openxmlformats.org/officeDocument/2006/relationships/hyperlink" Target="http://www.altanddot.com/" TargetMode="External"/><Relationship Id="rId1392" Type="http://schemas.openxmlformats.org/officeDocument/2006/relationships/hyperlink" Target="https://www.linkedin.com/company/twigdoo/" TargetMode="External"/><Relationship Id="rId1406" Type="http://schemas.openxmlformats.org/officeDocument/2006/relationships/hyperlink" Target="https://www.linkedin.com/company/surfboard/" TargetMode="External"/><Relationship Id="rId194" Type="http://schemas.openxmlformats.org/officeDocument/2006/relationships/hyperlink" Target="mailto:CJ.Ong@cloudaron.com" TargetMode="External"/><Relationship Id="rId208" Type="http://schemas.openxmlformats.org/officeDocument/2006/relationships/hyperlink" Target="http://www.nexasoft.my/" TargetMode="External"/><Relationship Id="rId415" Type="http://schemas.openxmlformats.org/officeDocument/2006/relationships/hyperlink" Target="mailto:Manish@dextcloud.com" TargetMode="External"/><Relationship Id="rId622" Type="http://schemas.openxmlformats.org/officeDocument/2006/relationships/hyperlink" Target="http://www.appzilo.com/" TargetMode="External"/><Relationship Id="rId1045" Type="http://schemas.openxmlformats.org/officeDocument/2006/relationships/hyperlink" Target="mailto:chongsu@paclamedical.com" TargetMode="External"/><Relationship Id="rId1252" Type="http://schemas.openxmlformats.org/officeDocument/2006/relationships/hyperlink" Target="mailto:Nick@venturist.io" TargetMode="External"/><Relationship Id="rId261" Type="http://schemas.openxmlformats.org/officeDocument/2006/relationships/hyperlink" Target="https://www.linkedin.com/company/cladnetwork/" TargetMode="External"/><Relationship Id="rId499" Type="http://schemas.openxmlformats.org/officeDocument/2006/relationships/hyperlink" Target="https://www.f6s.com/jobs/36770/booksterab/co-founder-and-back-end-developer-wanted" TargetMode="External"/><Relationship Id="rId927" Type="http://schemas.openxmlformats.org/officeDocument/2006/relationships/hyperlink" Target="http://startupjobs.asia/job/39833-it-web-design-app-developer-internship-it-seeka-technology-malaysia" TargetMode="External"/><Relationship Id="rId1112" Type="http://schemas.openxmlformats.org/officeDocument/2006/relationships/hyperlink" Target="https://angel.co/3dapartment" TargetMode="External"/><Relationship Id="rId56" Type="http://schemas.openxmlformats.org/officeDocument/2006/relationships/hyperlink" Target="mailto:Raman@lumiere32.sg" TargetMode="External"/><Relationship Id="rId359" Type="http://schemas.openxmlformats.org/officeDocument/2006/relationships/hyperlink" Target="https://www.linkedin.com/company/oncaretech/" TargetMode="External"/><Relationship Id="rId566" Type="http://schemas.openxmlformats.org/officeDocument/2006/relationships/hyperlink" Target="https://www.linkedin.com/in/m%C3%A4rt-aro-9703086/" TargetMode="External"/><Relationship Id="rId773" Type="http://schemas.openxmlformats.org/officeDocument/2006/relationships/hyperlink" Target="mailto:mail@thestoriesstudio.com" TargetMode="External"/><Relationship Id="rId1196" Type="http://schemas.openxmlformats.org/officeDocument/2006/relationships/hyperlink" Target="https://www.hitchbird.com/" TargetMode="External"/><Relationship Id="rId121" Type="http://schemas.openxmlformats.org/officeDocument/2006/relationships/hyperlink" Target="mailto:Pak@btinnolab.com" TargetMode="External"/><Relationship Id="rId219" Type="http://schemas.openxmlformats.org/officeDocument/2006/relationships/hyperlink" Target="mailto:Harpreet@blocklime.com" TargetMode="External"/><Relationship Id="rId426" Type="http://schemas.openxmlformats.org/officeDocument/2006/relationships/hyperlink" Target="https://www.linkedin.com/in/alfred-tee-294232104/?locale=de_DE" TargetMode="External"/><Relationship Id="rId633" Type="http://schemas.openxmlformats.org/officeDocument/2006/relationships/hyperlink" Target="http://startupjobs.asia/job/37332-technical-co-founder-pandorabox-ui-ux-pandorabox-malaysia-malaysia" TargetMode="External"/><Relationship Id="rId980" Type="http://schemas.openxmlformats.org/officeDocument/2006/relationships/hyperlink" Target="https://www.linkedin.com/in/jean-martin-jm-gauthier-81a3bb15a/" TargetMode="External"/><Relationship Id="rId1056" Type="http://schemas.openxmlformats.org/officeDocument/2006/relationships/hyperlink" Target="https://www.doctorxdentist.com/" TargetMode="External"/><Relationship Id="rId1263" Type="http://schemas.openxmlformats.org/officeDocument/2006/relationships/hyperlink" Target="mailto:Tom@chronomics.co.uk" TargetMode="External"/><Relationship Id="rId840" Type="http://schemas.openxmlformats.org/officeDocument/2006/relationships/hyperlink" Target="https://www.f6s.com/jobs/37620/rendermusicinc/senior-ios-developer" TargetMode="External"/><Relationship Id="rId938" Type="http://schemas.openxmlformats.org/officeDocument/2006/relationships/hyperlink" Target="https://www.linkedin.com/in/gfarianunes/" TargetMode="External"/><Relationship Id="rId67" Type="http://schemas.openxmlformats.org/officeDocument/2006/relationships/hyperlink" Target="http://www.combinesell.com/" TargetMode="External"/><Relationship Id="rId272" Type="http://schemas.openxmlformats.org/officeDocument/2006/relationships/hyperlink" Target="https://goparkr.com/" TargetMode="External"/><Relationship Id="rId577" Type="http://schemas.openxmlformats.org/officeDocument/2006/relationships/hyperlink" Target="https://angel.co/capexmove" TargetMode="External"/><Relationship Id="rId700" Type="http://schemas.openxmlformats.org/officeDocument/2006/relationships/hyperlink" Target="https://www.f6s.com/jobs/37295/amplifyintelligence/front-end-java-vaadin-developer" TargetMode="External"/><Relationship Id="rId1123" Type="http://schemas.openxmlformats.org/officeDocument/2006/relationships/hyperlink" Target="https://www.linkedin.com/company/rebelrolemodel/" TargetMode="External"/><Relationship Id="rId1330" Type="http://schemas.openxmlformats.org/officeDocument/2006/relationships/hyperlink" Target="http://www.besceneapp.com/" TargetMode="External"/><Relationship Id="rId132" Type="http://schemas.openxmlformats.org/officeDocument/2006/relationships/hyperlink" Target="http://www.fatfish.co/" TargetMode="External"/><Relationship Id="rId784" Type="http://schemas.openxmlformats.org/officeDocument/2006/relationships/hyperlink" Target="https://www.linkedin.com/company/premianetwork/" TargetMode="External"/><Relationship Id="rId991" Type="http://schemas.openxmlformats.org/officeDocument/2006/relationships/hyperlink" Target="https://www.leadsports.com/mentor/isakowitz" TargetMode="External"/><Relationship Id="rId1067" Type="http://schemas.openxmlformats.org/officeDocument/2006/relationships/hyperlink" Target="https://www.techinasia.com/jobs/30d6fa5b-5239-4537-b82f-4b45242c4955" TargetMode="External"/><Relationship Id="rId437" Type="http://schemas.openxmlformats.org/officeDocument/2006/relationships/hyperlink" Target="mailto:zhan.yang@fomopay.com" TargetMode="External"/><Relationship Id="rId644" Type="http://schemas.openxmlformats.org/officeDocument/2006/relationships/hyperlink" Target="http://startupjobs.asia/job/39164-front-end-mobile-developer-front-end-developers-mybump-media-malaysia" TargetMode="External"/><Relationship Id="rId851" Type="http://schemas.openxmlformats.org/officeDocument/2006/relationships/hyperlink" Target="http://startupjobs.asia/job/39589-web-backend-developer-php-it-kryptopos-malaysia" TargetMode="External"/><Relationship Id="rId1274" Type="http://schemas.openxmlformats.org/officeDocument/2006/relationships/hyperlink" Target="https://www.techinasia.com/jobs/55dd7d02-0a1a-4306-80eb-0f3c4446fb33" TargetMode="External"/><Relationship Id="rId283" Type="http://schemas.openxmlformats.org/officeDocument/2006/relationships/hyperlink" Target="https://www.skedda.com/" TargetMode="External"/><Relationship Id="rId490" Type="http://schemas.openxmlformats.org/officeDocument/2006/relationships/hyperlink" Target="mailto:Maximilian.Jakasovic@vypno.com" TargetMode="External"/><Relationship Id="rId504" Type="http://schemas.openxmlformats.org/officeDocument/2006/relationships/hyperlink" Target="mailto:facebook@thehourglass.com" TargetMode="External"/><Relationship Id="rId711" Type="http://schemas.openxmlformats.org/officeDocument/2006/relationships/hyperlink" Target="https://www.linkedin.com/in/noahkakai/" TargetMode="External"/><Relationship Id="rId949" Type="http://schemas.openxmlformats.org/officeDocument/2006/relationships/hyperlink" Target="https://www.linkedin.com/company/packitup-ivs/" TargetMode="External"/><Relationship Id="rId1134" Type="http://schemas.openxmlformats.org/officeDocument/2006/relationships/hyperlink" Target="http://startupjobs.asia/job/40739--full-stack-developer-full-stack-developer-imotorbike-malaysia" TargetMode="External"/><Relationship Id="rId1341" Type="http://schemas.openxmlformats.org/officeDocument/2006/relationships/hyperlink" Target="mailto:Chiraz.Hammami@camcheck.fr" TargetMode="External"/><Relationship Id="rId78" Type="http://schemas.openxmlformats.org/officeDocument/2006/relationships/hyperlink" Target="mailto:MARCO@one.io" TargetMode="External"/><Relationship Id="rId143" Type="http://schemas.openxmlformats.org/officeDocument/2006/relationships/hyperlink" Target="mailto:ning@werebits.com" TargetMode="External"/><Relationship Id="rId350" Type="http://schemas.openxmlformats.org/officeDocument/2006/relationships/hyperlink" Target="https://www.f6s.com/jobs/36709/harvestr/lead-developer" TargetMode="External"/><Relationship Id="rId588" Type="http://schemas.openxmlformats.org/officeDocument/2006/relationships/hyperlink" Target="mailto:jacky@esa.my" TargetMode="External"/><Relationship Id="rId795" Type="http://schemas.openxmlformats.org/officeDocument/2006/relationships/hyperlink" Target="https://www.linkedin.com/company/tenderboard/" TargetMode="External"/><Relationship Id="rId809" Type="http://schemas.openxmlformats.org/officeDocument/2006/relationships/hyperlink" Target="http://movel.ai/" TargetMode="External"/><Relationship Id="rId1201" Type="http://schemas.openxmlformats.org/officeDocument/2006/relationships/hyperlink" Target="https://www.propinecapital.com/" TargetMode="External"/><Relationship Id="rId9" Type="http://schemas.openxmlformats.org/officeDocument/2006/relationships/hyperlink" Target="https://www.firstpage.asia/" TargetMode="External"/><Relationship Id="rId210" Type="http://schemas.openxmlformats.org/officeDocument/2006/relationships/hyperlink" Target="https://www.linkedin.com/company/nexasoft-sdn-bhd/" TargetMode="External"/><Relationship Id="rId448" Type="http://schemas.openxmlformats.org/officeDocument/2006/relationships/hyperlink" Target="http://www.maple.ai/" TargetMode="External"/><Relationship Id="rId655" Type="http://schemas.openxmlformats.org/officeDocument/2006/relationships/hyperlink" Target="https://www.techinasia.com/jobs/da104bf7-2635-4a9f-8fc9-ade35d7aa196" TargetMode="External"/><Relationship Id="rId862" Type="http://schemas.openxmlformats.org/officeDocument/2006/relationships/hyperlink" Target="https://www.linkedin.com/in/andr%C3%A9-miranda-b096a487/" TargetMode="External"/><Relationship Id="rId1078" Type="http://schemas.openxmlformats.org/officeDocument/2006/relationships/hyperlink" Target="https://www.theishu.com/" TargetMode="External"/><Relationship Id="rId1285" Type="http://schemas.openxmlformats.org/officeDocument/2006/relationships/hyperlink" Target="https://www.linkedin.com/in/andy-ho-92170a2a/" TargetMode="External"/><Relationship Id="rId294" Type="http://schemas.openxmlformats.org/officeDocument/2006/relationships/hyperlink" Target="https://www.f6s.com/jobs/36305/novalume/iot-software-application-engineer" TargetMode="External"/><Relationship Id="rId308" Type="http://schemas.openxmlformats.org/officeDocument/2006/relationships/hyperlink" Target="https://www.crypto-potential.com/" TargetMode="External"/><Relationship Id="rId515" Type="http://schemas.openxmlformats.org/officeDocument/2006/relationships/hyperlink" Target="mailto:andrea@tribo.io" TargetMode="External"/><Relationship Id="rId722" Type="http://schemas.openxmlformats.org/officeDocument/2006/relationships/hyperlink" Target="https://www.f6s.com/jobs/37165/wetaxi/full-stack-developer" TargetMode="External"/><Relationship Id="rId1145" Type="http://schemas.openxmlformats.org/officeDocument/2006/relationships/hyperlink" Target="https://quanterium.tech/" TargetMode="External"/><Relationship Id="rId1352" Type="http://schemas.openxmlformats.org/officeDocument/2006/relationships/hyperlink" Target="mailto:info@primefactor.capital" TargetMode="External"/><Relationship Id="rId89" Type="http://schemas.openxmlformats.org/officeDocument/2006/relationships/hyperlink" Target="https://www.linkedin.com/in/shahedx/" TargetMode="External"/><Relationship Id="rId154" Type="http://schemas.openxmlformats.org/officeDocument/2006/relationships/hyperlink" Target="mailto:Brian@uhooair.com" TargetMode="External"/><Relationship Id="rId361" Type="http://schemas.openxmlformats.org/officeDocument/2006/relationships/hyperlink" Target="http://www.weareoncare.com/" TargetMode="External"/><Relationship Id="rId599" Type="http://schemas.openxmlformats.org/officeDocument/2006/relationships/hyperlink" Target="mailto:hello@tourego.com" TargetMode="External"/><Relationship Id="rId1005" Type="http://schemas.openxmlformats.org/officeDocument/2006/relationships/hyperlink" Target="https://www.linkedin.com/company/7c-laboratories/" TargetMode="External"/><Relationship Id="rId1212" Type="http://schemas.openxmlformats.org/officeDocument/2006/relationships/hyperlink" Target="http://startupjobs.asia/job/40789-ios-developer-full-stack-developer-healthzilla-singapore" TargetMode="External"/><Relationship Id="rId459" Type="http://schemas.openxmlformats.org/officeDocument/2006/relationships/hyperlink" Target="https://www.linkedin.com/company/four-elements-capital-pte-ltd/?originalSubdomain=ph" TargetMode="External"/><Relationship Id="rId666" Type="http://schemas.openxmlformats.org/officeDocument/2006/relationships/hyperlink" Target="http://startupjobs.asia/job/39429-full-stack-developer-full-stack-developer-onlive-io-zeguestlist-pte-ltd-anywhere" TargetMode="External"/><Relationship Id="rId873" Type="http://schemas.openxmlformats.org/officeDocument/2006/relationships/hyperlink" Target="mailto:Yishay@neverfiat.com" TargetMode="External"/><Relationship Id="rId1089" Type="http://schemas.openxmlformats.org/officeDocument/2006/relationships/hyperlink" Target="mailto:thenikunjsoni@yahoo.com" TargetMode="External"/><Relationship Id="rId1296" Type="http://schemas.openxmlformats.org/officeDocument/2006/relationships/hyperlink" Target="https://www.f6s.com/jobs/38506/invygo/lead-software-engineer" TargetMode="External"/><Relationship Id="rId16" Type="http://schemas.openxmlformats.org/officeDocument/2006/relationships/hyperlink" Target="https://joba.co/us/web-developer" TargetMode="External"/><Relationship Id="rId221" Type="http://schemas.openxmlformats.org/officeDocument/2006/relationships/hyperlink" Target="http://startupjobs.asia/job/38639-front-end-developer-front-end-developers-blocklime-malaysia" TargetMode="External"/><Relationship Id="rId319" Type="http://schemas.openxmlformats.org/officeDocument/2006/relationships/hyperlink" Target="https://tripmedic.com/" TargetMode="External"/><Relationship Id="rId526" Type="http://schemas.openxmlformats.org/officeDocument/2006/relationships/hyperlink" Target="mailto:RossLawless@caltdynamics.com" TargetMode="External"/><Relationship Id="rId1156" Type="http://schemas.openxmlformats.org/officeDocument/2006/relationships/hyperlink" Target="https://www.linkedin.com/company/fweels/" TargetMode="External"/><Relationship Id="rId1363" Type="http://schemas.openxmlformats.org/officeDocument/2006/relationships/hyperlink" Target="mailto:Brandon@surfboardapp.co" TargetMode="External"/><Relationship Id="rId733" Type="http://schemas.openxmlformats.org/officeDocument/2006/relationships/hyperlink" Target="http://www.virtub.io/" TargetMode="External"/><Relationship Id="rId940" Type="http://schemas.openxmlformats.org/officeDocument/2006/relationships/hyperlink" Target="mailto:gaga@adtonos.com" TargetMode="External"/><Relationship Id="rId1016" Type="http://schemas.openxmlformats.org/officeDocument/2006/relationships/hyperlink" Target="https://www.linkedin.com/in/chongsu-lee-3600772a/" TargetMode="External"/><Relationship Id="rId165" Type="http://schemas.openxmlformats.org/officeDocument/2006/relationships/hyperlink" Target="https://www.linkedin.com/company/fidentiax/" TargetMode="External"/><Relationship Id="rId372" Type="http://schemas.openxmlformats.org/officeDocument/2006/relationships/hyperlink" Target="https://www.linkedin.com/company/itstalk/" TargetMode="External"/><Relationship Id="rId677" Type="http://schemas.openxmlformats.org/officeDocument/2006/relationships/hyperlink" Target="https://www.linkedin.com/company/stars-&amp;-cows-societ%C3%A0-cooperativa/" TargetMode="External"/><Relationship Id="rId800" Type="http://schemas.openxmlformats.org/officeDocument/2006/relationships/hyperlink" Target="mailto:hola@hookcoffee.com.sg" TargetMode="External"/><Relationship Id="rId1223" Type="http://schemas.openxmlformats.org/officeDocument/2006/relationships/hyperlink" Target="https://www.f6s.com/jobs/38472/clutchtechinc/full-stack-developer" TargetMode="External"/><Relationship Id="rId232" Type="http://schemas.openxmlformats.org/officeDocument/2006/relationships/hyperlink" Target="https://www.f6s.com/jobs/36453/equityx1/senior-architect" TargetMode="External"/><Relationship Id="rId884" Type="http://schemas.openxmlformats.org/officeDocument/2006/relationships/hyperlink" Target="https://koobby.com/" TargetMode="External"/><Relationship Id="rId27" Type="http://schemas.openxmlformats.org/officeDocument/2006/relationships/hyperlink" Target="mailto:Gerard.Bolt@devmob.com" TargetMode="External"/><Relationship Id="rId537" Type="http://schemas.openxmlformats.org/officeDocument/2006/relationships/hyperlink" Target="https://www.linkedin.com/company/cript-limited/" TargetMode="External"/><Relationship Id="rId744" Type="http://schemas.openxmlformats.org/officeDocument/2006/relationships/hyperlink" Target="https://www.techinasia.com/jobs/50fe2af6-1f67-4943-b446-45a658ff775c" TargetMode="External"/><Relationship Id="rId951" Type="http://schemas.openxmlformats.org/officeDocument/2006/relationships/hyperlink" Target="https://packitup.dk/" TargetMode="External"/><Relationship Id="rId1167" Type="http://schemas.openxmlformats.org/officeDocument/2006/relationships/hyperlink" Target="https://workroll.com/jobs/full-time-senior-developer-poweredlocal-prahran-australia" TargetMode="External"/><Relationship Id="rId1374" Type="http://schemas.openxmlformats.org/officeDocument/2006/relationships/hyperlink" Target="https://workinstartups.com/job-board/job/73289/ios-developer-at-verv/" TargetMode="External"/><Relationship Id="rId80" Type="http://schemas.openxmlformats.org/officeDocument/2006/relationships/hyperlink" Target="https://www.linkedin.com/company/emagin/" TargetMode="External"/><Relationship Id="rId176" Type="http://schemas.openxmlformats.org/officeDocument/2006/relationships/hyperlink" Target="mailto:Sridhar@utrum.io" TargetMode="External"/><Relationship Id="rId383" Type="http://schemas.openxmlformats.org/officeDocument/2006/relationships/hyperlink" Target="mailto:ben@kopernio.com" TargetMode="External"/><Relationship Id="rId590" Type="http://schemas.openxmlformats.org/officeDocument/2006/relationships/hyperlink" Target="mailto:alfredtee@snsoft.my" TargetMode="External"/><Relationship Id="rId604" Type="http://schemas.openxmlformats.org/officeDocument/2006/relationships/hyperlink" Target="http://grabhaulier.business.site/" TargetMode="External"/><Relationship Id="rId811" Type="http://schemas.openxmlformats.org/officeDocument/2006/relationships/hyperlink" Target="https://www.linkedin.com/company/movel-ai-pte-ltd/" TargetMode="External"/><Relationship Id="rId1027" Type="http://schemas.openxmlformats.org/officeDocument/2006/relationships/hyperlink" Target="https://www.pestpulse.com/" TargetMode="External"/><Relationship Id="rId1234" Type="http://schemas.openxmlformats.org/officeDocument/2006/relationships/hyperlink" Target="https://www.orda-app.com/" TargetMode="External"/><Relationship Id="rId243" Type="http://schemas.openxmlformats.org/officeDocument/2006/relationships/hyperlink" Target="https://www.linkedin.com/company/presnsr/" TargetMode="External"/><Relationship Id="rId450" Type="http://schemas.openxmlformats.org/officeDocument/2006/relationships/hyperlink" Target="mailto:mingfeng@seedly.sg" TargetMode="External"/><Relationship Id="rId688" Type="http://schemas.openxmlformats.org/officeDocument/2006/relationships/hyperlink" Target="https://www.linkedin.com/company/moona/" TargetMode="External"/><Relationship Id="rId895" Type="http://schemas.openxmlformats.org/officeDocument/2006/relationships/hyperlink" Target="https://www.f6s.com/jobs/37550/ninjamoba/cto-co-founder" TargetMode="External"/><Relationship Id="rId909" Type="http://schemas.openxmlformats.org/officeDocument/2006/relationships/hyperlink" Target="https://www.linkedin.com/company/b2book.net/" TargetMode="External"/><Relationship Id="rId1080" Type="http://schemas.openxmlformats.org/officeDocument/2006/relationships/hyperlink" Target="http://www.nikunjsoni.in/" TargetMode="External"/><Relationship Id="rId1301" Type="http://schemas.openxmlformats.org/officeDocument/2006/relationships/hyperlink" Target="https://ayudaheuristics.com/" TargetMode="External"/><Relationship Id="rId38" Type="http://schemas.openxmlformats.org/officeDocument/2006/relationships/hyperlink" Target="http://deemples.com/" TargetMode="External"/><Relationship Id="rId103" Type="http://schemas.openxmlformats.org/officeDocument/2006/relationships/hyperlink" Target="mailto:jimmy@bescene.sg" TargetMode="External"/><Relationship Id="rId310" Type="http://schemas.openxmlformats.org/officeDocument/2006/relationships/hyperlink" Target="mailto:Luke@jingle.market" TargetMode="External"/><Relationship Id="rId548" Type="http://schemas.openxmlformats.org/officeDocument/2006/relationships/hyperlink" Target="https://www.techinasia.com/jobs/6966ce4b-2b10-41e4-beb6-1dfa4ff7fd26" TargetMode="External"/><Relationship Id="rId755" Type="http://schemas.openxmlformats.org/officeDocument/2006/relationships/hyperlink" Target="https://www.techinasia.com/jobs/18e573ea-f360-4401-9702-6428d2c5abf8" TargetMode="External"/><Relationship Id="rId962" Type="http://schemas.openxmlformats.org/officeDocument/2006/relationships/hyperlink" Target="https://www.f6s.com/jobs/37691/vingineers/co-founder" TargetMode="External"/><Relationship Id="rId1178" Type="http://schemas.openxmlformats.org/officeDocument/2006/relationships/hyperlink" Target="https://weworkremotely.com/remote-jobs/webpunch-senior-developer" TargetMode="External"/><Relationship Id="rId1385" Type="http://schemas.openxmlformats.org/officeDocument/2006/relationships/hyperlink" Target="https://www.linkedin.com/company/squirrel-financial-wellbeing/" TargetMode="External"/><Relationship Id="rId91" Type="http://schemas.openxmlformats.org/officeDocument/2006/relationships/hyperlink" Target="http://www.collabhero.com/" TargetMode="External"/><Relationship Id="rId187" Type="http://schemas.openxmlformats.org/officeDocument/2006/relationships/hyperlink" Target="https://www.linkedin.com/company/auk.industries/" TargetMode="External"/><Relationship Id="rId394" Type="http://schemas.openxmlformats.org/officeDocument/2006/relationships/hyperlink" Target="https://angel.co/discourze" TargetMode="External"/><Relationship Id="rId408" Type="http://schemas.openxmlformats.org/officeDocument/2006/relationships/hyperlink" Target="https://www.linkedin.com/company/nevaal/" TargetMode="External"/><Relationship Id="rId615" Type="http://schemas.openxmlformats.org/officeDocument/2006/relationships/hyperlink" Target="https://www.linkedin.com/company/thinkcol-limited/" TargetMode="External"/><Relationship Id="rId822" Type="http://schemas.openxmlformats.org/officeDocument/2006/relationships/hyperlink" Target="mailto:sales@untangle.ai" TargetMode="External"/><Relationship Id="rId1038" Type="http://schemas.openxmlformats.org/officeDocument/2006/relationships/hyperlink" Target="mailto:Ben@crowdmap.io" TargetMode="External"/><Relationship Id="rId1245" Type="http://schemas.openxmlformats.org/officeDocument/2006/relationships/hyperlink" Target="http://n-interactive.com/" TargetMode="External"/><Relationship Id="rId254" Type="http://schemas.openxmlformats.org/officeDocument/2006/relationships/hyperlink" Target="https://www.linkedin.com/company/archangelimaging/" TargetMode="External"/><Relationship Id="rId699" Type="http://schemas.openxmlformats.org/officeDocument/2006/relationships/hyperlink" Target="https://www.linkedin.com/company/amplify-intelligence-limited/?originalSubdomain=au" TargetMode="External"/><Relationship Id="rId1091" Type="http://schemas.openxmlformats.org/officeDocument/2006/relationships/hyperlink" Target="mailto:Renzo.Castillo@quaira.com" TargetMode="External"/><Relationship Id="rId1105" Type="http://schemas.openxmlformats.org/officeDocument/2006/relationships/hyperlink" Target="https://www.linkedin.com/company/vr-calm/" TargetMode="External"/><Relationship Id="rId1312" Type="http://schemas.openxmlformats.org/officeDocument/2006/relationships/hyperlink" Target="https://www.coreblue.co.uk/" TargetMode="External"/><Relationship Id="rId49" Type="http://schemas.openxmlformats.org/officeDocument/2006/relationships/hyperlink" Target="https://www.linkedin.com/company/vediohead/" TargetMode="External"/><Relationship Id="rId114" Type="http://schemas.openxmlformats.org/officeDocument/2006/relationships/hyperlink" Target="mailto:sales@actigage.com" TargetMode="External"/><Relationship Id="rId461" Type="http://schemas.openxmlformats.org/officeDocument/2006/relationships/hyperlink" Target="mailto:info@4ecap.com" TargetMode="External"/><Relationship Id="rId559" Type="http://schemas.openxmlformats.org/officeDocument/2006/relationships/hyperlink" Target="https://www.f6s.com/jobs/36817/lianesrl/cto" TargetMode="External"/><Relationship Id="rId766" Type="http://schemas.openxmlformats.org/officeDocument/2006/relationships/hyperlink" Target="https://krispykrush.com/o-o-the-app-find-like-minded-people-and-things-to-do-with-them-on-the-go/" TargetMode="External"/><Relationship Id="rId1189" Type="http://schemas.openxmlformats.org/officeDocument/2006/relationships/hyperlink" Target="https://alittlefind.com/" TargetMode="External"/><Relationship Id="rId1396" Type="http://schemas.openxmlformats.org/officeDocument/2006/relationships/hyperlink" Target="https://www.linkedin.com/company/forwardhealth/" TargetMode="External"/><Relationship Id="rId198" Type="http://schemas.openxmlformats.org/officeDocument/2006/relationships/hyperlink" Target="https://www.techinasia.com/jobs/9a814980-ec40-444e-bcd3-4fa26084cf6f" TargetMode="External"/><Relationship Id="rId321" Type="http://schemas.openxmlformats.org/officeDocument/2006/relationships/hyperlink" Target="https://www.f6s.com/jobs/36232/tripmedic/web-developer-wordpress" TargetMode="External"/><Relationship Id="rId419" Type="http://schemas.openxmlformats.org/officeDocument/2006/relationships/hyperlink" Target="http://www.inproved.com/" TargetMode="External"/><Relationship Id="rId626" Type="http://schemas.openxmlformats.org/officeDocument/2006/relationships/hyperlink" Target="mailto:Zwee@eunoia.asia" TargetMode="External"/><Relationship Id="rId973" Type="http://schemas.openxmlformats.org/officeDocument/2006/relationships/hyperlink" Target="https://www.linkedin.com/company/technology-with-a-heart-as/" TargetMode="External"/><Relationship Id="rId1049" Type="http://schemas.openxmlformats.org/officeDocument/2006/relationships/hyperlink" Target="https://www.linkedin.com/company/postco-my/" TargetMode="External"/><Relationship Id="rId1256" Type="http://schemas.openxmlformats.org/officeDocument/2006/relationships/hyperlink" Target="https://workinstartups.com/job-board/job/73623/backend-developer-at-syncmoney/" TargetMode="External"/><Relationship Id="rId833" Type="http://schemas.openxmlformats.org/officeDocument/2006/relationships/hyperlink" Target="mailto:contact@spreadsheep.io" TargetMode="External"/><Relationship Id="rId1116" Type="http://schemas.openxmlformats.org/officeDocument/2006/relationships/hyperlink" Target="https://angel.co/bright-angle-1" TargetMode="External"/><Relationship Id="rId265" Type="http://schemas.openxmlformats.org/officeDocument/2006/relationships/hyperlink" Target="https://www.f6s.com/jobs/36373/parkwarebyubiwhere/backend-developer/" TargetMode="External"/><Relationship Id="rId472" Type="http://schemas.openxmlformats.org/officeDocument/2006/relationships/hyperlink" Target="https://www.linkedin.com/company/want-things-done/" TargetMode="External"/><Relationship Id="rId900" Type="http://schemas.openxmlformats.org/officeDocument/2006/relationships/hyperlink" Target="http://qvsta.com/" TargetMode="External"/><Relationship Id="rId1323" Type="http://schemas.openxmlformats.org/officeDocument/2006/relationships/hyperlink" Target="https://www.causalens.com/" TargetMode="External"/><Relationship Id="rId125" Type="http://schemas.openxmlformats.org/officeDocument/2006/relationships/hyperlink" Target="https://meisterwerk-app.de/" TargetMode="External"/><Relationship Id="rId332" Type="http://schemas.openxmlformats.org/officeDocument/2006/relationships/hyperlink" Target="mailto:Max@sensorflow.co" TargetMode="External"/><Relationship Id="rId777" Type="http://schemas.openxmlformats.org/officeDocument/2006/relationships/hyperlink" Target="https://www.linkedin.com/company/thestoriesstudio/" TargetMode="External"/><Relationship Id="rId984" Type="http://schemas.openxmlformats.org/officeDocument/2006/relationships/hyperlink" Target="https://www.linkedin.com/in/v%C3%A9ronic-benoit-53963628/" TargetMode="External"/><Relationship Id="rId637" Type="http://schemas.openxmlformats.org/officeDocument/2006/relationships/hyperlink" Target="http://startupjobs.asia/job/39391-senior-javascript-developer-full-stack-developer-accela-pte-ltd-singapore" TargetMode="External"/><Relationship Id="rId844" Type="http://schemas.openxmlformats.org/officeDocument/2006/relationships/hyperlink" Target="https://remote.co/job/wordpress-javascript-wizard-for-creative-digital-agency/" TargetMode="External"/><Relationship Id="rId1267" Type="http://schemas.openxmlformats.org/officeDocument/2006/relationships/hyperlink" Target="mailto:steve.blake@sportpursuit.com" TargetMode="External"/><Relationship Id="rId276" Type="http://schemas.openxmlformats.org/officeDocument/2006/relationships/hyperlink" Target="mailto:Jan@kopernio.com" TargetMode="External"/><Relationship Id="rId483" Type="http://schemas.openxmlformats.org/officeDocument/2006/relationships/hyperlink" Target="https://www.linkedin.com/company/castella-art/" TargetMode="External"/><Relationship Id="rId690" Type="http://schemas.openxmlformats.org/officeDocument/2006/relationships/hyperlink" Target="mailto:David@getmoona.com" TargetMode="External"/><Relationship Id="rId704" Type="http://schemas.openxmlformats.org/officeDocument/2006/relationships/hyperlink" Target="https://www.linkedin.com/in/yasser-hassan-6bab16/" TargetMode="External"/><Relationship Id="rId911" Type="http://schemas.openxmlformats.org/officeDocument/2006/relationships/hyperlink" Target="https://www.linkedin.com/company/quanode/" TargetMode="External"/><Relationship Id="rId1127" Type="http://schemas.openxmlformats.org/officeDocument/2006/relationships/hyperlink" Target="mailto:finnwolff@berkeley.edu" TargetMode="External"/><Relationship Id="rId1334" Type="http://schemas.openxmlformats.org/officeDocument/2006/relationships/hyperlink" Target="mailto:info@bakkaldan.com" TargetMode="External"/><Relationship Id="rId40" Type="http://schemas.openxmlformats.org/officeDocument/2006/relationships/hyperlink" Target="mailto:jianwei@strangersoccer.com" TargetMode="External"/><Relationship Id="rId136" Type="http://schemas.openxmlformats.org/officeDocument/2006/relationships/hyperlink" Target="https://vase.ai/" TargetMode="External"/><Relationship Id="rId343" Type="http://schemas.openxmlformats.org/officeDocument/2006/relationships/hyperlink" Target="https://www.techinasia.com/jobs/88330894-1903-4098-ae58-1875bde00ddc" TargetMode="External"/><Relationship Id="rId550" Type="http://schemas.openxmlformats.org/officeDocument/2006/relationships/hyperlink" Target="mailto:rishikbahri_1@yahoo.com" TargetMode="External"/><Relationship Id="rId788" Type="http://schemas.openxmlformats.org/officeDocument/2006/relationships/hyperlink" Target="https://radioactive.sg/" TargetMode="External"/><Relationship Id="rId995" Type="http://schemas.openxmlformats.org/officeDocument/2006/relationships/hyperlink" Target="https://www.linkedin.com/company/iwoop-ltd/" TargetMode="External"/><Relationship Id="rId1180" Type="http://schemas.openxmlformats.org/officeDocument/2006/relationships/hyperlink" Target="mailto:hello@webpunch12.com" TargetMode="External"/><Relationship Id="rId1401" Type="http://schemas.openxmlformats.org/officeDocument/2006/relationships/hyperlink" Target="https://www.linkedin.com/company/verado/" TargetMode="External"/><Relationship Id="rId203" Type="http://schemas.openxmlformats.org/officeDocument/2006/relationships/hyperlink" Target="https://www.f6s.com/jobs/36387/actively/full-stack-javascript-engineer" TargetMode="External"/><Relationship Id="rId648" Type="http://schemas.openxmlformats.org/officeDocument/2006/relationships/hyperlink" Target="https://www.linkedin.com/company/wheelchef/" TargetMode="External"/><Relationship Id="rId855" Type="http://schemas.openxmlformats.org/officeDocument/2006/relationships/hyperlink" Target="https://www.f6s.com/jobs/37640/foundationforcommunitydevelopment/mobile-app-developer" TargetMode="External"/><Relationship Id="rId1040" Type="http://schemas.openxmlformats.org/officeDocument/2006/relationships/hyperlink" Target="https://www.linkedin.com/in/michael-nagler-7353bb128/" TargetMode="External"/><Relationship Id="rId1278" Type="http://schemas.openxmlformats.org/officeDocument/2006/relationships/hyperlink" Target="https://www.xinfin.org/" TargetMode="External"/><Relationship Id="rId287" Type="http://schemas.openxmlformats.org/officeDocument/2006/relationships/hyperlink" Target="https://www.f6s.com/jobs/36380/ppcprotect/full-stack-developer" TargetMode="External"/><Relationship Id="rId410" Type="http://schemas.openxmlformats.org/officeDocument/2006/relationships/hyperlink" Target="mailto:info@nevaal.com" TargetMode="External"/><Relationship Id="rId494" Type="http://schemas.openxmlformats.org/officeDocument/2006/relationships/hyperlink" Target="mailto:hello@vesto.me" TargetMode="External"/><Relationship Id="rId508" Type="http://schemas.openxmlformats.org/officeDocument/2006/relationships/hyperlink" Target="https://www.linkedin.com/company/mightcast/" TargetMode="External"/><Relationship Id="rId715" Type="http://schemas.openxmlformats.org/officeDocument/2006/relationships/hyperlink" Target="https://www.f6s.com/jobs/37213/issmestudentservices/technical-cofounder" TargetMode="External"/><Relationship Id="rId922" Type="http://schemas.openxmlformats.org/officeDocument/2006/relationships/hyperlink" Target="https://www.linkedin.com/company/knowlers/" TargetMode="External"/><Relationship Id="rId1138" Type="http://schemas.openxmlformats.org/officeDocument/2006/relationships/hyperlink" Target="http://startupjobs.asia/job/40716-full-stack-developer-cum-system-admin-it-zing-healthcare-sdn-bhd-malaysia" TargetMode="External"/><Relationship Id="rId1345" Type="http://schemas.openxmlformats.org/officeDocument/2006/relationships/hyperlink" Target="mailto:support@verado.com" TargetMode="External"/><Relationship Id="rId147" Type="http://schemas.openxmlformats.org/officeDocument/2006/relationships/hyperlink" Target="https://bereev.com/" TargetMode="External"/><Relationship Id="rId354" Type="http://schemas.openxmlformats.org/officeDocument/2006/relationships/hyperlink" Target="mailto:hello@feedeosapp.com" TargetMode="External"/><Relationship Id="rId799" Type="http://schemas.openxmlformats.org/officeDocument/2006/relationships/hyperlink" Target="https://hookcoffee.com.sg/" TargetMode="External"/><Relationship Id="rId1191" Type="http://schemas.openxmlformats.org/officeDocument/2006/relationships/hyperlink" Target="https://www.linkedin.com/company/incentivegames/" TargetMode="External"/><Relationship Id="rId1205" Type="http://schemas.openxmlformats.org/officeDocument/2006/relationships/hyperlink" Target="mailto:kaisim@ctrlworks.com" TargetMode="External"/><Relationship Id="rId51" Type="http://schemas.openxmlformats.org/officeDocument/2006/relationships/hyperlink" Target="https://www.vediohead.com/" TargetMode="External"/><Relationship Id="rId561" Type="http://schemas.openxmlformats.org/officeDocument/2006/relationships/hyperlink" Target="mailto:MICHAEL@getmucho.com" TargetMode="External"/><Relationship Id="rId659" Type="http://schemas.openxmlformats.org/officeDocument/2006/relationships/hyperlink" Target="mailto:saiful@oceannexus.my" TargetMode="External"/><Relationship Id="rId866" Type="http://schemas.openxmlformats.org/officeDocument/2006/relationships/hyperlink" Target="https://www.f6s.com/jobs/37599/bellamaterna1/desenvolvedor-front-end-react" TargetMode="External"/><Relationship Id="rId1289" Type="http://schemas.openxmlformats.org/officeDocument/2006/relationships/hyperlink" Target="mailto:V.Sasnouski@pionr.com" TargetMode="External"/><Relationship Id="rId214" Type="http://schemas.openxmlformats.org/officeDocument/2006/relationships/hyperlink" Target="mailto:support@tetrium.io" TargetMode="External"/><Relationship Id="rId298" Type="http://schemas.openxmlformats.org/officeDocument/2006/relationships/hyperlink" Target="https://www.see-mode.com/" TargetMode="External"/><Relationship Id="rId421" Type="http://schemas.openxmlformats.org/officeDocument/2006/relationships/hyperlink" Target="https://www.linkedin.com/company/passkit/" TargetMode="External"/><Relationship Id="rId519" Type="http://schemas.openxmlformats.org/officeDocument/2006/relationships/hyperlink" Target="mailto:Alessio.Bravi@atelierandavenue.com" TargetMode="External"/><Relationship Id="rId1051" Type="http://schemas.openxmlformats.org/officeDocument/2006/relationships/hyperlink" Target="mailto:Nicolas@postco.com.my" TargetMode="External"/><Relationship Id="rId1149" Type="http://schemas.openxmlformats.org/officeDocument/2006/relationships/hyperlink" Target="mailto:Ben@fweels.com" TargetMode="External"/><Relationship Id="rId1356" Type="http://schemas.openxmlformats.org/officeDocument/2006/relationships/hyperlink" Target="https://www.techinasia.com/jobs/search?country_name%5b%5d=Singapore&amp;job_category_name%5b%5d=Game%20%26%20VR%2FAR%20Development" TargetMode="External"/><Relationship Id="rId158" Type="http://schemas.openxmlformats.org/officeDocument/2006/relationships/hyperlink" Target="mailto:hello@uhooair.com" TargetMode="External"/><Relationship Id="rId726" Type="http://schemas.openxmlformats.org/officeDocument/2006/relationships/hyperlink" Target="https://tibalife.com/" TargetMode="External"/><Relationship Id="rId933" Type="http://schemas.openxmlformats.org/officeDocument/2006/relationships/hyperlink" Target="mailto:info@ottoo.co" TargetMode="External"/><Relationship Id="rId1009" Type="http://schemas.openxmlformats.org/officeDocument/2006/relationships/hyperlink" Target="https://angel.co/gabbi-ai" TargetMode="External"/><Relationship Id="rId62" Type="http://schemas.openxmlformats.org/officeDocument/2006/relationships/hyperlink" Target="https://e27.co/job/inventrik-pte-ltd/full-stack-javascript-developer" TargetMode="External"/><Relationship Id="rId365" Type="http://schemas.openxmlformats.org/officeDocument/2006/relationships/hyperlink" Target="https://www.linkedin.com/in/alexey-chernyshev/" TargetMode="External"/><Relationship Id="rId572" Type="http://schemas.openxmlformats.org/officeDocument/2006/relationships/hyperlink" Target="https://www.elementus.io/" TargetMode="External"/><Relationship Id="rId1216" Type="http://schemas.openxmlformats.org/officeDocument/2006/relationships/hyperlink" Target="https://upstackstudio.com/" TargetMode="External"/><Relationship Id="rId225" Type="http://schemas.openxmlformats.org/officeDocument/2006/relationships/hyperlink" Target="https://www.techinasia.com/jobs/67add6f2-758c-43e0-ae89-3fb95f0f9aab" TargetMode="External"/><Relationship Id="rId432" Type="http://schemas.openxmlformats.org/officeDocument/2006/relationships/hyperlink" Target="mailto:Adrian@contactsdaily.com" TargetMode="External"/><Relationship Id="rId877" Type="http://schemas.openxmlformats.org/officeDocument/2006/relationships/hyperlink" Target="https://onefid.com/" TargetMode="External"/><Relationship Id="rId1062" Type="http://schemas.openxmlformats.org/officeDocument/2006/relationships/hyperlink" Target="https://www.linkedin.com/company/heli-cap/" TargetMode="External"/><Relationship Id="rId737" Type="http://schemas.openxmlformats.org/officeDocument/2006/relationships/hyperlink" Target="mailto:francesco.zuccaccia@gmail.com" TargetMode="External"/><Relationship Id="rId944" Type="http://schemas.openxmlformats.org/officeDocument/2006/relationships/hyperlink" Target="https://consult.law/" TargetMode="External"/><Relationship Id="rId1367" Type="http://schemas.openxmlformats.org/officeDocument/2006/relationships/hyperlink" Target="mailto:contato@zottomobile.com.br" TargetMode="External"/><Relationship Id="rId73" Type="http://schemas.openxmlformats.org/officeDocument/2006/relationships/hyperlink" Target="https://www.weworkmeteor.com/jobs/o9ivxDgs64PycNCYq/junior-developer" TargetMode="External"/><Relationship Id="rId169" Type="http://schemas.openxmlformats.org/officeDocument/2006/relationships/hyperlink" Target="https://pulseid.com/" TargetMode="External"/><Relationship Id="rId376" Type="http://schemas.openxmlformats.org/officeDocument/2006/relationships/hyperlink" Target="https://www.linkedin.com/company/hireflowshr/" TargetMode="External"/><Relationship Id="rId583" Type="http://schemas.openxmlformats.org/officeDocument/2006/relationships/hyperlink" Target="mailto:info@sopinet.com" TargetMode="External"/><Relationship Id="rId790" Type="http://schemas.openxmlformats.org/officeDocument/2006/relationships/hyperlink" Target="https://www.linkedin.com/company/radioactive.sg/" TargetMode="External"/><Relationship Id="rId804" Type="http://schemas.openxmlformats.org/officeDocument/2006/relationships/hyperlink" Target="https://www.techinasia.com/jobs/6a07896b-c2f8-41c2-8e00-dbacd0534637" TargetMode="External"/><Relationship Id="rId1227" Type="http://schemas.openxmlformats.org/officeDocument/2006/relationships/hyperlink" Target="https://vendiapp.com/" TargetMode="External"/><Relationship Id="rId4" Type="http://schemas.openxmlformats.org/officeDocument/2006/relationships/hyperlink" Target="https://boxclue.co/" TargetMode="External"/><Relationship Id="rId236" Type="http://schemas.openxmlformats.org/officeDocument/2006/relationships/hyperlink" Target="http://www.cybersprout.com/" TargetMode="External"/><Relationship Id="rId443" Type="http://schemas.openxmlformats.org/officeDocument/2006/relationships/hyperlink" Target="https://www.techinasia.com/jobs/7d14459c-ebae-417b-ae57-ba655d11b58f" TargetMode="External"/><Relationship Id="rId650" Type="http://schemas.openxmlformats.org/officeDocument/2006/relationships/hyperlink" Target="http://www.wheelchefs.com/" TargetMode="External"/><Relationship Id="rId888" Type="http://schemas.openxmlformats.org/officeDocument/2006/relationships/hyperlink" Target="https://www.f6s.com/jobs/37562/aptapltd/tech-lead" TargetMode="External"/><Relationship Id="rId1073" Type="http://schemas.openxmlformats.org/officeDocument/2006/relationships/hyperlink" Target="https://www.f6s.com/jobs/37794/wonderlander/co-founder-cto" TargetMode="External"/><Relationship Id="rId1280" Type="http://schemas.openxmlformats.org/officeDocument/2006/relationships/hyperlink" Target="mailto:info@xinfin.org" TargetMode="External"/><Relationship Id="rId303" Type="http://schemas.openxmlformats.org/officeDocument/2006/relationships/hyperlink" Target="https://www.linkedin.com/company/the-dealer-app-limited/" TargetMode="External"/><Relationship Id="rId748" Type="http://schemas.openxmlformats.org/officeDocument/2006/relationships/hyperlink" Target="mailto:Pang@synchroweb.com" TargetMode="External"/><Relationship Id="rId955" Type="http://schemas.openxmlformats.org/officeDocument/2006/relationships/hyperlink" Target="mailto:amin@shiroiboushi.net" TargetMode="External"/><Relationship Id="rId1140" Type="http://schemas.openxmlformats.org/officeDocument/2006/relationships/hyperlink" Target="http://www.streetlifedxb.com/" TargetMode="External"/><Relationship Id="rId1378" Type="http://schemas.openxmlformats.org/officeDocument/2006/relationships/hyperlink" Target="https://www.arctoris.com/" TargetMode="External"/><Relationship Id="rId84" Type="http://schemas.openxmlformats.org/officeDocument/2006/relationships/hyperlink" Target="mailto:info@requana.com" TargetMode="External"/><Relationship Id="rId387" Type="http://schemas.openxmlformats.org/officeDocument/2006/relationships/hyperlink" Target="mailto:Katlyn@fledglink.com%20/" TargetMode="External"/><Relationship Id="rId510" Type="http://schemas.openxmlformats.org/officeDocument/2006/relationships/hyperlink" Target="http://www.mightcast.com/" TargetMode="External"/><Relationship Id="rId594" Type="http://schemas.openxmlformats.org/officeDocument/2006/relationships/hyperlink" Target="mailto:jeremylim@manjalabs.com" TargetMode="External"/><Relationship Id="rId608" Type="http://schemas.openxmlformats.org/officeDocument/2006/relationships/hyperlink" Target="mailto:karen.m.ng@gmail.com" TargetMode="External"/><Relationship Id="rId815" Type="http://schemas.openxmlformats.org/officeDocument/2006/relationships/hyperlink" Target="https://www.linkedin.com/company/datavis-pte-ltd/" TargetMode="External"/><Relationship Id="rId1238" Type="http://schemas.openxmlformats.org/officeDocument/2006/relationships/hyperlink" Target="mailto:info@aiofitnessuk.com" TargetMode="External"/><Relationship Id="rId247" Type="http://schemas.openxmlformats.org/officeDocument/2006/relationships/hyperlink" Target="https://www.f6s.com/jobs/36446/coatconnect/technical-co-founder" TargetMode="External"/><Relationship Id="rId899" Type="http://schemas.openxmlformats.org/officeDocument/2006/relationships/hyperlink" Target="https://www.f6s.com/jobs/37529/qvsta/frontend-developer" TargetMode="External"/><Relationship Id="rId1000" Type="http://schemas.openxmlformats.org/officeDocument/2006/relationships/hyperlink" Target="http://startupjobs.asia/job/39848-mobile-apps-developer-it-maja-solutions-sdn-bhd-malaysia" TargetMode="External"/><Relationship Id="rId1084" Type="http://schemas.openxmlformats.org/officeDocument/2006/relationships/hyperlink" Target="https://www.dotgiscorp.com/" TargetMode="External"/><Relationship Id="rId1305" Type="http://schemas.openxmlformats.org/officeDocument/2006/relationships/hyperlink" Target="mailto:JasperDykes@coinzettle.com" TargetMode="External"/><Relationship Id="rId107" Type="http://schemas.openxmlformats.org/officeDocument/2006/relationships/hyperlink" Target="https://www.dioworksgroup.com/" TargetMode="External"/><Relationship Id="rId454" Type="http://schemas.openxmlformats.org/officeDocument/2006/relationships/hyperlink" Target="https://seedly.sg/" TargetMode="External"/><Relationship Id="rId661" Type="http://schemas.openxmlformats.org/officeDocument/2006/relationships/hyperlink" Target="https://www.techinasia.com/jobs/04e05586-1a33-4f1e-8b76-ed531a4fa8e6" TargetMode="External"/><Relationship Id="rId759" Type="http://schemas.openxmlformats.org/officeDocument/2006/relationships/hyperlink" Target="https://www.linkedin.com/company/capbay/" TargetMode="External"/><Relationship Id="rId966" Type="http://schemas.openxmlformats.org/officeDocument/2006/relationships/hyperlink" Target="https://www.f6s.com/jobs/37685/splittypay/backend-developer" TargetMode="External"/><Relationship Id="rId1291" Type="http://schemas.openxmlformats.org/officeDocument/2006/relationships/hyperlink" Target="mailto:info@pionr.com" TargetMode="External"/><Relationship Id="rId1389" Type="http://schemas.openxmlformats.org/officeDocument/2006/relationships/hyperlink" Target="https://www.linkedin.com/company/instense-limited/" TargetMode="External"/><Relationship Id="rId11" Type="http://schemas.openxmlformats.org/officeDocument/2006/relationships/hyperlink" Target="https://www.tidecreatives.com/" TargetMode="External"/><Relationship Id="rId314" Type="http://schemas.openxmlformats.org/officeDocument/2006/relationships/hyperlink" Target="mailto:Kaveh@qritive.com" TargetMode="External"/><Relationship Id="rId398" Type="http://schemas.openxmlformats.org/officeDocument/2006/relationships/hyperlink" Target="http://www.futways.com/" TargetMode="External"/><Relationship Id="rId521" Type="http://schemas.openxmlformats.org/officeDocument/2006/relationships/hyperlink" Target="https://angel.co/atelier-avenue-1" TargetMode="External"/><Relationship Id="rId619" Type="http://schemas.openxmlformats.org/officeDocument/2006/relationships/hyperlink" Target="http://startupjobs.asia/job/39375-chief-technology-officer-ui-ux-the2uo-singapore" TargetMode="External"/><Relationship Id="rId1151" Type="http://schemas.openxmlformats.org/officeDocument/2006/relationships/hyperlink" Target="https://www.f6s.com/jobs/38332/fweels/cto-co-founder-remote-or-cambridge" TargetMode="External"/><Relationship Id="rId1249" Type="http://schemas.openxmlformats.org/officeDocument/2006/relationships/hyperlink" Target="mailto:hello@venturist.io" TargetMode="External"/><Relationship Id="rId95" Type="http://schemas.openxmlformats.org/officeDocument/2006/relationships/hyperlink" Target="http://startupjobs.asia/job/38289-frontend-web-developer-it-ifcon-technology-malaysia" TargetMode="External"/><Relationship Id="rId160" Type="http://schemas.openxmlformats.org/officeDocument/2006/relationships/hyperlink" Target="https://www.linkedin.com/company/plasmabank/" TargetMode="External"/><Relationship Id="rId826" Type="http://schemas.openxmlformats.org/officeDocument/2006/relationships/hyperlink" Target="https://www.linkedin.com/company/vibease-pte-ltd/" TargetMode="External"/><Relationship Id="rId1011" Type="http://schemas.openxmlformats.org/officeDocument/2006/relationships/hyperlink" Target="https://www.linkedin.com/company/innerspace.at/" TargetMode="External"/><Relationship Id="rId1109" Type="http://schemas.openxmlformats.org/officeDocument/2006/relationships/hyperlink" Target="http://pharmavgate.com/" TargetMode="External"/><Relationship Id="rId258" Type="http://schemas.openxmlformats.org/officeDocument/2006/relationships/hyperlink" Target="https://www.linkedin.com/company/igeolise-ltd/" TargetMode="External"/><Relationship Id="rId465" Type="http://schemas.openxmlformats.org/officeDocument/2006/relationships/hyperlink" Target="https://www.linkedin.com/company/zynesis-consulting/" TargetMode="External"/><Relationship Id="rId672" Type="http://schemas.openxmlformats.org/officeDocument/2006/relationships/hyperlink" Target="http://luminovo.ai/" TargetMode="External"/><Relationship Id="rId1095" Type="http://schemas.openxmlformats.org/officeDocument/2006/relationships/hyperlink" Target="mailto:hello@cashcoach.co" TargetMode="External"/><Relationship Id="rId1316" Type="http://schemas.openxmlformats.org/officeDocument/2006/relationships/hyperlink" Target="https://www.ciqgroup.com/" TargetMode="External"/><Relationship Id="rId22" Type="http://schemas.openxmlformats.org/officeDocument/2006/relationships/hyperlink" Target="mailto:info@sevensict.nl" TargetMode="External"/><Relationship Id="rId118" Type="http://schemas.openxmlformats.org/officeDocument/2006/relationships/hyperlink" Target="http://www.mentorica.com/" TargetMode="External"/><Relationship Id="rId325" Type="http://schemas.openxmlformats.org/officeDocument/2006/relationships/hyperlink" Target="https://chainstack.com/" TargetMode="External"/><Relationship Id="rId532" Type="http://schemas.openxmlformats.org/officeDocument/2006/relationships/hyperlink" Target="https://angel.co/appvia" TargetMode="External"/><Relationship Id="rId977" Type="http://schemas.openxmlformats.org/officeDocument/2006/relationships/hyperlink" Target="http://www.memento.media/" TargetMode="External"/><Relationship Id="rId1162" Type="http://schemas.openxmlformats.org/officeDocument/2006/relationships/hyperlink" Target="https://workroll.com/jobs/senior-software-engineer-sitemate-remote" TargetMode="External"/><Relationship Id="rId171" Type="http://schemas.openxmlformats.org/officeDocument/2006/relationships/hyperlink" Target="mailto:contact@pulseid.com" TargetMode="External"/><Relationship Id="rId837" Type="http://schemas.openxmlformats.org/officeDocument/2006/relationships/hyperlink" Target="mailto:Thomas.BROSSET@spreadsheep.io" TargetMode="External"/><Relationship Id="rId1022" Type="http://schemas.openxmlformats.org/officeDocument/2006/relationships/hyperlink" Target="https://subsec.ai/" TargetMode="External"/><Relationship Id="rId269" Type="http://schemas.openxmlformats.org/officeDocument/2006/relationships/hyperlink" Target="https://www.f6s.com/jobs/36369/bhive.com/android-developer" TargetMode="External"/><Relationship Id="rId476" Type="http://schemas.openxmlformats.org/officeDocument/2006/relationships/hyperlink" Target="https://www.techinasia.com/jobs/d4c1bd49-152a-4c20-ba6d-77f676feb565/" TargetMode="External"/><Relationship Id="rId683" Type="http://schemas.openxmlformats.org/officeDocument/2006/relationships/hyperlink" Target="https://trueai.io/" TargetMode="External"/><Relationship Id="rId890" Type="http://schemas.openxmlformats.org/officeDocument/2006/relationships/hyperlink" Target="mailto:info@gilytics.com" TargetMode="External"/><Relationship Id="rId904" Type="http://schemas.openxmlformats.org/officeDocument/2006/relationships/hyperlink" Target="https://www.linkedin.com/in/kongming/" TargetMode="External"/><Relationship Id="rId1327" Type="http://schemas.openxmlformats.org/officeDocument/2006/relationships/hyperlink" Target="http://www.aquilalogic.com.sg/" TargetMode="External"/><Relationship Id="rId33" Type="http://schemas.openxmlformats.org/officeDocument/2006/relationships/hyperlink" Target="mailto:info@tanzire.co" TargetMode="External"/><Relationship Id="rId129" Type="http://schemas.openxmlformats.org/officeDocument/2006/relationships/hyperlink" Target="https://www.linkedin.com/company/haulio/" TargetMode="External"/><Relationship Id="rId336" Type="http://schemas.openxmlformats.org/officeDocument/2006/relationships/hyperlink" Target="mailto:Paul@lomotif.com" TargetMode="External"/><Relationship Id="rId543" Type="http://schemas.openxmlformats.org/officeDocument/2006/relationships/hyperlink" Target="https://www.linkedin.com/company/payroll-panda/" TargetMode="External"/><Relationship Id="rId988" Type="http://schemas.openxmlformats.org/officeDocument/2006/relationships/hyperlink" Target="http://xtraplayar.com/" TargetMode="External"/><Relationship Id="rId1173" Type="http://schemas.openxmlformats.org/officeDocument/2006/relationships/hyperlink" Target="https://www.linkedin.com/in/osamu-iizuka/" TargetMode="External"/><Relationship Id="rId1380" Type="http://schemas.openxmlformats.org/officeDocument/2006/relationships/hyperlink" Target="https://www.linkedin.com/company/sportpursuit/" TargetMode="External"/><Relationship Id="rId182" Type="http://schemas.openxmlformats.org/officeDocument/2006/relationships/hyperlink" Target="https://utrum.io/" TargetMode="External"/><Relationship Id="rId403" Type="http://schemas.openxmlformats.org/officeDocument/2006/relationships/hyperlink" Target="mailto:nicolas@influencerz.io" TargetMode="External"/><Relationship Id="rId750" Type="http://schemas.openxmlformats.org/officeDocument/2006/relationships/hyperlink" Target="https://www.linkedin.com/in/pang-wee-tak-98aa313/" TargetMode="External"/><Relationship Id="rId848" Type="http://schemas.openxmlformats.org/officeDocument/2006/relationships/hyperlink" Target="mailto:Gavin@kryptopos.com" TargetMode="External"/><Relationship Id="rId1033" Type="http://schemas.openxmlformats.org/officeDocument/2006/relationships/hyperlink" Target="mailto:enquiries@wecudos.com" TargetMode="External"/><Relationship Id="rId487" Type="http://schemas.openxmlformats.org/officeDocument/2006/relationships/hyperlink" Target="https://www.linkedin.com/company/vypno/" TargetMode="External"/><Relationship Id="rId610" Type="http://schemas.openxmlformats.org/officeDocument/2006/relationships/hyperlink" Target="mailto:alireza.bagheri@buildpath.co.uk" TargetMode="External"/><Relationship Id="rId694" Type="http://schemas.openxmlformats.org/officeDocument/2006/relationships/hyperlink" Target="https://www.linkedin.com/company/weedea/" TargetMode="External"/><Relationship Id="rId708" Type="http://schemas.openxmlformats.org/officeDocument/2006/relationships/hyperlink" Target="https://www.f6s.com/jobs/37289/alliedcrowdsltd/software-engineer-intern" TargetMode="External"/><Relationship Id="rId915" Type="http://schemas.openxmlformats.org/officeDocument/2006/relationships/hyperlink" Target="mailto:Ahmed.Ragab@quanode.com" TargetMode="External"/><Relationship Id="rId1240" Type="http://schemas.openxmlformats.org/officeDocument/2006/relationships/hyperlink" Target="https://workinstartups.com/job-board/job/73702/full-stack-dev-junior-level-at-high-growth-fintech-at-stockflare/" TargetMode="External"/><Relationship Id="rId1338" Type="http://schemas.openxmlformats.org/officeDocument/2006/relationships/hyperlink" Target="mailto:contact@camcheck.fr" TargetMode="External"/><Relationship Id="rId347" Type="http://schemas.openxmlformats.org/officeDocument/2006/relationships/hyperlink" Target="https://www.techinasia.com/jobs/7a5545d5-7a38-4db8-9564-9ac94ae3e660" TargetMode="External"/><Relationship Id="rId999" Type="http://schemas.openxmlformats.org/officeDocument/2006/relationships/hyperlink" Target="https://www.linkedin.com/company/majagames/" TargetMode="External"/><Relationship Id="rId1100" Type="http://schemas.openxmlformats.org/officeDocument/2006/relationships/hyperlink" Target="mailto:hasancanorhan@gmail.com" TargetMode="External"/><Relationship Id="rId1184" Type="http://schemas.openxmlformats.org/officeDocument/2006/relationships/hyperlink" Target="http://www.altanddot.com/" TargetMode="External"/><Relationship Id="rId1405" Type="http://schemas.openxmlformats.org/officeDocument/2006/relationships/hyperlink" Target="https://www.linkedin.com/company/little-nugget-co/" TargetMode="External"/><Relationship Id="rId44" Type="http://schemas.openxmlformats.org/officeDocument/2006/relationships/hyperlink" Target="https://www.linkedin.com/company/coinected-io/" TargetMode="External"/><Relationship Id="rId554" Type="http://schemas.openxmlformats.org/officeDocument/2006/relationships/hyperlink" Target="https://www.techinasia.com/jobs/f9701907-dca6-4117-b093-f8a02c1ed96c" TargetMode="External"/><Relationship Id="rId761" Type="http://schemas.openxmlformats.org/officeDocument/2006/relationships/hyperlink" Target="http://www.meeduca.com.br/" TargetMode="External"/><Relationship Id="rId859" Type="http://schemas.openxmlformats.org/officeDocument/2006/relationships/hyperlink" Target="http://www.styckr.rocks/" TargetMode="External"/><Relationship Id="rId1391" Type="http://schemas.openxmlformats.org/officeDocument/2006/relationships/hyperlink" Target="https://www.linkedin.com/company/orda-technologies/" TargetMode="External"/><Relationship Id="rId193" Type="http://schemas.openxmlformats.org/officeDocument/2006/relationships/hyperlink" Target="https://www.techinasia.com/jobs/1bb51ddc-d618-459d-94ce-5812a38bd180" TargetMode="External"/><Relationship Id="rId207" Type="http://schemas.openxmlformats.org/officeDocument/2006/relationships/hyperlink" Target="mailto:Sufian@nexasoft.my" TargetMode="External"/><Relationship Id="rId414" Type="http://schemas.openxmlformats.org/officeDocument/2006/relationships/hyperlink" Target="https://angel.co/dextcloud" TargetMode="External"/><Relationship Id="rId498" Type="http://schemas.openxmlformats.org/officeDocument/2006/relationships/hyperlink" Target="mailto:Andre.Cacador@vesto.me" TargetMode="External"/><Relationship Id="rId621" Type="http://schemas.openxmlformats.org/officeDocument/2006/relationships/hyperlink" Target="http://startupjobs.asia/job/39195-android-mobile-developer-ui-ux-appzilo-malaysia" TargetMode="External"/><Relationship Id="rId1044" Type="http://schemas.openxmlformats.org/officeDocument/2006/relationships/hyperlink" Target="mailto:yishayrl@gmail.com" TargetMode="External"/><Relationship Id="rId1251" Type="http://schemas.openxmlformats.org/officeDocument/2006/relationships/hyperlink" Target="https://workinstartups.com/job-board/job/73657/tech-lead-at-venturist/" TargetMode="External"/><Relationship Id="rId1349" Type="http://schemas.openxmlformats.org/officeDocument/2006/relationships/hyperlink" Target="https://workinstartups.com/job-board/job/73786/lead-engineer-for-a-brand-new-startup-nodejs-london-or-remote-at-tiney/" TargetMode="External"/><Relationship Id="rId260" Type="http://schemas.openxmlformats.org/officeDocument/2006/relationships/hyperlink" Target="https://cladnetwork.com/" TargetMode="External"/><Relationship Id="rId719" Type="http://schemas.openxmlformats.org/officeDocument/2006/relationships/hyperlink" Target="mailto:Luca@wetaxi.it" TargetMode="External"/><Relationship Id="rId926" Type="http://schemas.openxmlformats.org/officeDocument/2006/relationships/hyperlink" Target="https://www.linkedin.com/in/ado-dedovic/" TargetMode="External"/><Relationship Id="rId1111" Type="http://schemas.openxmlformats.org/officeDocument/2006/relationships/hyperlink" Target="https://www.linkedin.com/company/3dapartment/" TargetMode="External"/><Relationship Id="rId55" Type="http://schemas.openxmlformats.org/officeDocument/2006/relationships/hyperlink" Target="https://www.linkedin.com/company/lumiere32/" TargetMode="External"/><Relationship Id="rId120" Type="http://schemas.openxmlformats.org/officeDocument/2006/relationships/hyperlink" Target="https://www.techinasia.com/jobs/adaa5e8c-ecf5-4355-b49c-6cfa3d605523" TargetMode="External"/><Relationship Id="rId358" Type="http://schemas.openxmlformats.org/officeDocument/2006/relationships/hyperlink" Target="mailto:James@weareoncare.com" TargetMode="External"/><Relationship Id="rId565" Type="http://schemas.openxmlformats.org/officeDocument/2006/relationships/hyperlink" Target="mailto:hi@getmucho.com" TargetMode="External"/><Relationship Id="rId772" Type="http://schemas.openxmlformats.org/officeDocument/2006/relationships/hyperlink" Target="https://www.f6s.com/jobs/37330/muchobycook-incompanylimited/full-stack-php-developer" TargetMode="External"/><Relationship Id="rId1195" Type="http://schemas.openxmlformats.org/officeDocument/2006/relationships/hyperlink" Target="http://startupjobs.asia/job/40519-senior-ui-ux-developer-ui-ux-hitchbird-malaysia" TargetMode="External"/><Relationship Id="rId1209" Type="http://schemas.openxmlformats.org/officeDocument/2006/relationships/hyperlink" Target="mailto:laura@healthzilla.ai" TargetMode="External"/><Relationship Id="rId218" Type="http://schemas.openxmlformats.org/officeDocument/2006/relationships/hyperlink" Target="https://tetrium.io/" TargetMode="External"/><Relationship Id="rId425" Type="http://schemas.openxmlformats.org/officeDocument/2006/relationships/hyperlink" Target="http://snsoft.my/" TargetMode="External"/><Relationship Id="rId632" Type="http://schemas.openxmlformats.org/officeDocument/2006/relationships/hyperlink" Target="https://www.linkedin.com/company/pandorabox-ecommerce-sdn-bhd/" TargetMode="External"/><Relationship Id="rId1055" Type="http://schemas.openxmlformats.org/officeDocument/2006/relationships/hyperlink" Target="http://startupjobs.asia/job/39923-full-stack-lead-developer-familiar-with-javascript-and-mean-stack-knowledge-full-stack-developer-doctorxdentist-singapore" TargetMode="External"/><Relationship Id="rId1262" Type="http://schemas.openxmlformats.org/officeDocument/2006/relationships/hyperlink" Target="https://workinstartups.com/job-board/job/73591/front-end-react-developer-freelanceremote-at-chronomics/" TargetMode="External"/><Relationship Id="rId271" Type="http://schemas.openxmlformats.org/officeDocument/2006/relationships/hyperlink" Target="mailto:contact@goparkr.com" TargetMode="External"/><Relationship Id="rId937" Type="http://schemas.openxmlformats.org/officeDocument/2006/relationships/hyperlink" Target="mailto:Murat@ottoo.com" TargetMode="External"/><Relationship Id="rId1122" Type="http://schemas.openxmlformats.org/officeDocument/2006/relationships/hyperlink" Target="mailto:nancy@rebelrolemodel.com" TargetMode="External"/><Relationship Id="rId66" Type="http://schemas.openxmlformats.org/officeDocument/2006/relationships/hyperlink" Target="https://www.linkedin.com/company/combinesell/" TargetMode="External"/><Relationship Id="rId131" Type="http://schemas.openxmlformats.org/officeDocument/2006/relationships/hyperlink" Target="mailto:Chelsy.Chiew@fatfish.co" TargetMode="External"/><Relationship Id="rId369" Type="http://schemas.openxmlformats.org/officeDocument/2006/relationships/hyperlink" Target="https://www.the-roommate.com/" TargetMode="External"/><Relationship Id="rId576" Type="http://schemas.openxmlformats.org/officeDocument/2006/relationships/hyperlink" Target="https://www.linkedin.com/company/capexmove/" TargetMode="External"/><Relationship Id="rId783" Type="http://schemas.openxmlformats.org/officeDocument/2006/relationships/hyperlink" Target="https://www.f6s.com/jobs/37035/vixtape/cto-head-of-engineering" TargetMode="External"/><Relationship Id="rId990" Type="http://schemas.openxmlformats.org/officeDocument/2006/relationships/hyperlink" Target="http://www.marcelisakowitz.de/" TargetMode="External"/><Relationship Id="rId229" Type="http://schemas.openxmlformats.org/officeDocument/2006/relationships/hyperlink" Target="https://www.linkedin.com/company/moonassist/" TargetMode="External"/><Relationship Id="rId436" Type="http://schemas.openxmlformats.org/officeDocument/2006/relationships/hyperlink" Target="http://startupjobs.asia/job/38729-full-stack-angular-react-nodejs-developers-wanted-for-temp-freelance-work-x2-full-stack-developer-contactsdaily-singapore" TargetMode="External"/><Relationship Id="rId643" Type="http://schemas.openxmlformats.org/officeDocument/2006/relationships/hyperlink" Target="https://www.linkedin.com/company/mybump-llp/" TargetMode="External"/><Relationship Id="rId1066" Type="http://schemas.openxmlformats.org/officeDocument/2006/relationships/hyperlink" Target="https://www.linkedin.com/in/moritz-kassner-9a470628/" TargetMode="External"/><Relationship Id="rId1273" Type="http://schemas.openxmlformats.org/officeDocument/2006/relationships/hyperlink" Target="http://travalr.com/" TargetMode="External"/><Relationship Id="rId850" Type="http://schemas.openxmlformats.org/officeDocument/2006/relationships/hyperlink" Target="https://www.linkedin.com/company/kryptopos/" TargetMode="External"/><Relationship Id="rId948" Type="http://schemas.openxmlformats.org/officeDocument/2006/relationships/hyperlink" Target="mailto:amalie@packitup.dk" TargetMode="External"/><Relationship Id="rId1133" Type="http://schemas.openxmlformats.org/officeDocument/2006/relationships/hyperlink" Target="https://www.linkedin.com/company/imotorbike/" TargetMode="External"/><Relationship Id="rId77" Type="http://schemas.openxmlformats.org/officeDocument/2006/relationships/hyperlink" Target="https://v4ul7.io/" TargetMode="External"/><Relationship Id="rId282" Type="http://schemas.openxmlformats.org/officeDocument/2006/relationships/hyperlink" Target="mailto:Jon@skedda.com" TargetMode="External"/><Relationship Id="rId503" Type="http://schemas.openxmlformats.org/officeDocument/2006/relationships/hyperlink" Target="http://www.teebtv.com/" TargetMode="External"/><Relationship Id="rId587" Type="http://schemas.openxmlformats.org/officeDocument/2006/relationships/hyperlink" Target="mailto:beninianna77@gmail.com" TargetMode="External"/><Relationship Id="rId710" Type="http://schemas.openxmlformats.org/officeDocument/2006/relationships/hyperlink" Target="https://alliedcrowds.com/" TargetMode="External"/><Relationship Id="rId808" Type="http://schemas.openxmlformats.org/officeDocument/2006/relationships/hyperlink" Target="mailto:contact@movel.ai" TargetMode="External"/><Relationship Id="rId1340" Type="http://schemas.openxmlformats.org/officeDocument/2006/relationships/hyperlink" Target="https://www.f6s.com/jobs/38504/camcheck/full-stack-developer" TargetMode="External"/><Relationship Id="rId8" Type="http://schemas.openxmlformats.org/officeDocument/2006/relationships/hyperlink" Target="mailto:info@firstpage.asia" TargetMode="External"/><Relationship Id="rId142" Type="http://schemas.openxmlformats.org/officeDocument/2006/relationships/hyperlink" Target="https://www.werebits.com/" TargetMode="External"/><Relationship Id="rId447" Type="http://schemas.openxmlformats.org/officeDocument/2006/relationships/hyperlink" Target="https://www.linkedin.com/company/maple.ai/" TargetMode="External"/><Relationship Id="rId794" Type="http://schemas.openxmlformats.org/officeDocument/2006/relationships/hyperlink" Target="https://www.tenderboard.biz/" TargetMode="External"/><Relationship Id="rId1077" Type="http://schemas.openxmlformats.org/officeDocument/2006/relationships/hyperlink" Target="https://www.f6s.com/jobs/37787/ishu/graphic-designer" TargetMode="External"/><Relationship Id="rId1200" Type="http://schemas.openxmlformats.org/officeDocument/2006/relationships/hyperlink" Target="http://startupjobs.asia/job/40435-ux-designer-ui-ux-propine-capital-singapore" TargetMode="External"/><Relationship Id="rId654" Type="http://schemas.openxmlformats.org/officeDocument/2006/relationships/hyperlink" Target="https://www.linkedin.com/in/sim-hua-soon-4258712/" TargetMode="External"/><Relationship Id="rId861" Type="http://schemas.openxmlformats.org/officeDocument/2006/relationships/hyperlink" Target="https://www.f6s.com/jobs/37628/styckr/firmware-developper" TargetMode="External"/><Relationship Id="rId959" Type="http://schemas.openxmlformats.org/officeDocument/2006/relationships/hyperlink" Target="https://pirsonal.com/" TargetMode="External"/><Relationship Id="rId1284" Type="http://schemas.openxmlformats.org/officeDocument/2006/relationships/hyperlink" Target="mailto:Victor@logisticsx.io" TargetMode="External"/><Relationship Id="rId293" Type="http://schemas.openxmlformats.org/officeDocument/2006/relationships/hyperlink" Target="https://www.linkedin.com/company/novalume/" TargetMode="External"/><Relationship Id="rId307" Type="http://schemas.openxmlformats.org/officeDocument/2006/relationships/hyperlink" Target="https://www.f6s.com/jobs/36300/cryptopotential/angular-2-developer" TargetMode="External"/><Relationship Id="rId514" Type="http://schemas.openxmlformats.org/officeDocument/2006/relationships/hyperlink" Target="https://www.f6s.com/jobs/36782/tribo/ios-front-end-developer" TargetMode="External"/><Relationship Id="rId721" Type="http://schemas.openxmlformats.org/officeDocument/2006/relationships/hyperlink" Target="https://www.linkedin.com/company/wetaxi/" TargetMode="External"/><Relationship Id="rId1144" Type="http://schemas.openxmlformats.org/officeDocument/2006/relationships/hyperlink" Target="https://www.f6s.com/jobs/38417/syntherion/cto" TargetMode="External"/><Relationship Id="rId1351" Type="http://schemas.openxmlformats.org/officeDocument/2006/relationships/hyperlink" Target="mailto:Edd@tiney.co" TargetMode="External"/><Relationship Id="rId88" Type="http://schemas.openxmlformats.org/officeDocument/2006/relationships/hyperlink" Target="mailto:Sk@collabhero.com" TargetMode="External"/><Relationship Id="rId153" Type="http://schemas.openxmlformats.org/officeDocument/2006/relationships/hyperlink" Target="mailto:Marcus@omnilytics.co" TargetMode="External"/><Relationship Id="rId360" Type="http://schemas.openxmlformats.org/officeDocument/2006/relationships/hyperlink" Target="https://www.f6s.com/jobs/36663/oncaretechnologies/full-stack-software-engineer" TargetMode="External"/><Relationship Id="rId598" Type="http://schemas.openxmlformats.org/officeDocument/2006/relationships/hyperlink" Target="http://startupjobs.asia/job/38933-software-engineer-full-stack-developer-alt-hr-malaysia" TargetMode="External"/><Relationship Id="rId819" Type="http://schemas.openxmlformats.org/officeDocument/2006/relationships/hyperlink" Target="https://www.linkedin.com/company/untangleai/" TargetMode="External"/><Relationship Id="rId1004" Type="http://schemas.openxmlformats.org/officeDocument/2006/relationships/hyperlink" Target="https://7c-labs.com/" TargetMode="External"/><Relationship Id="rId1211" Type="http://schemas.openxmlformats.org/officeDocument/2006/relationships/hyperlink" Target="https://www.linkedin.com/company/-missionready/" TargetMode="External"/><Relationship Id="rId220" Type="http://schemas.openxmlformats.org/officeDocument/2006/relationships/hyperlink" Target="https://www.linkedin.com/company/blocklime/" TargetMode="External"/><Relationship Id="rId458" Type="http://schemas.openxmlformats.org/officeDocument/2006/relationships/hyperlink" Target="mailto:Maxime@alphien.com" TargetMode="External"/><Relationship Id="rId665" Type="http://schemas.openxmlformats.org/officeDocument/2006/relationships/hyperlink" Target="https://www.linkedin.com/company/zeguestlist---simplifying-events/" TargetMode="External"/><Relationship Id="rId872" Type="http://schemas.openxmlformats.org/officeDocument/2006/relationships/hyperlink" Target="mailto:support@neverfiat.com" TargetMode="External"/><Relationship Id="rId1088" Type="http://schemas.openxmlformats.org/officeDocument/2006/relationships/hyperlink" Target="mailto:info@dotgiscorp.com" TargetMode="External"/><Relationship Id="rId1295" Type="http://schemas.openxmlformats.org/officeDocument/2006/relationships/hyperlink" Target="https://www.linkedin.com/in/pulkitganjoo/" TargetMode="External"/><Relationship Id="rId1309" Type="http://schemas.openxmlformats.org/officeDocument/2006/relationships/hyperlink" Target="mailto:lewis@coreblue.co.uk" TargetMode="External"/><Relationship Id="rId15" Type="http://schemas.openxmlformats.org/officeDocument/2006/relationships/hyperlink" Target="http://deevoted.com/" TargetMode="External"/><Relationship Id="rId318" Type="http://schemas.openxmlformats.org/officeDocument/2006/relationships/hyperlink" Target="mailto:contact@tripmedic.com" TargetMode="External"/><Relationship Id="rId525" Type="http://schemas.openxmlformats.org/officeDocument/2006/relationships/hyperlink" Target="mailto:Info@caltdynamics.com" TargetMode="External"/><Relationship Id="rId732" Type="http://schemas.openxmlformats.org/officeDocument/2006/relationships/hyperlink" Target="https://www.f6s.com/jobs/37142/sobus.fr/engineer-internship-full-stack" TargetMode="External"/><Relationship Id="rId1155" Type="http://schemas.openxmlformats.org/officeDocument/2006/relationships/hyperlink" Target="https://www.linkedin.com/company/ultraiot/" TargetMode="External"/><Relationship Id="rId1362" Type="http://schemas.openxmlformats.org/officeDocument/2006/relationships/hyperlink" Target="mailto:hello@littlenuggetco.com" TargetMode="External"/><Relationship Id="rId99" Type="http://schemas.openxmlformats.org/officeDocument/2006/relationships/hyperlink" Target="mailto:nikizwan@ifcontech.com" TargetMode="External"/><Relationship Id="rId164" Type="http://schemas.openxmlformats.org/officeDocument/2006/relationships/hyperlink" Target="mailto:Alvin.a@fidentiax.com" TargetMode="External"/><Relationship Id="rId371" Type="http://schemas.openxmlformats.org/officeDocument/2006/relationships/hyperlink" Target="http://itstalk.me/" TargetMode="External"/><Relationship Id="rId1015" Type="http://schemas.openxmlformats.org/officeDocument/2006/relationships/hyperlink" Target="mailto:info@paclamedical.com" TargetMode="External"/><Relationship Id="rId1222" Type="http://schemas.openxmlformats.org/officeDocument/2006/relationships/hyperlink" Target="https://www.linkedin.com/company/clutche-tech-inc/" TargetMode="External"/><Relationship Id="rId469" Type="http://schemas.openxmlformats.org/officeDocument/2006/relationships/hyperlink" Target="mailto:chris@wantthingsdone.com" TargetMode="External"/><Relationship Id="rId676" Type="http://schemas.openxmlformats.org/officeDocument/2006/relationships/hyperlink" Target="http://www.starsandcows.com/" TargetMode="External"/><Relationship Id="rId883" Type="http://schemas.openxmlformats.org/officeDocument/2006/relationships/hyperlink" Target="https://www.f6s.com/jobs/37555/koobby-fitnessapp/co-founder-cto" TargetMode="External"/><Relationship Id="rId1099" Type="http://schemas.openxmlformats.org/officeDocument/2006/relationships/hyperlink" Target="mailto:Sam@cashcoach.co" TargetMode="External"/><Relationship Id="rId26" Type="http://schemas.openxmlformats.org/officeDocument/2006/relationships/hyperlink" Target="mailto:welcome@devmob.com" TargetMode="External"/><Relationship Id="rId231" Type="http://schemas.openxmlformats.org/officeDocument/2006/relationships/hyperlink" Target="https://www.linkedin.com/in/akio-kurata-540a8053/" TargetMode="External"/><Relationship Id="rId329" Type="http://schemas.openxmlformats.org/officeDocument/2006/relationships/hyperlink" Target="https://www.ludic.games/" TargetMode="External"/><Relationship Id="rId536" Type="http://schemas.openxmlformats.org/officeDocument/2006/relationships/hyperlink" Target="https://angel.co/ultimate-boxxer-1" TargetMode="External"/><Relationship Id="rId1166" Type="http://schemas.openxmlformats.org/officeDocument/2006/relationships/hyperlink" Target="https://www.linkedin.com/company/poweredlocal/" TargetMode="External"/><Relationship Id="rId1373" Type="http://schemas.openxmlformats.org/officeDocument/2006/relationships/hyperlink" Target="https://verv.energy/" TargetMode="External"/><Relationship Id="rId175" Type="http://schemas.openxmlformats.org/officeDocument/2006/relationships/hyperlink" Target="https://www.techinasia.com/jobs/7d514d7a-f1fa-4db6-8548-6813975a0263" TargetMode="External"/><Relationship Id="rId743" Type="http://schemas.openxmlformats.org/officeDocument/2006/relationships/hyperlink" Target="mailto:info@popa.hk" TargetMode="External"/><Relationship Id="rId950" Type="http://schemas.openxmlformats.org/officeDocument/2006/relationships/hyperlink" Target="https://angel.co/packitup" TargetMode="External"/><Relationship Id="rId1026" Type="http://schemas.openxmlformats.org/officeDocument/2006/relationships/hyperlink" Target="https://angel.co/pest-pulse/jobs/399843-software-engineer-fullstack" TargetMode="External"/><Relationship Id="rId382" Type="http://schemas.openxmlformats.org/officeDocument/2006/relationships/hyperlink" Target="https://www.f6s.com/jobs/36530/keypgmbh/back-end-developer" TargetMode="External"/><Relationship Id="rId603" Type="http://schemas.openxmlformats.org/officeDocument/2006/relationships/hyperlink" Target="https://www.linkedin.com/company/tourego-pte-ltd/" TargetMode="External"/><Relationship Id="rId687" Type="http://schemas.openxmlformats.org/officeDocument/2006/relationships/hyperlink" Target="https://en.getmoona.com/" TargetMode="External"/><Relationship Id="rId810" Type="http://schemas.openxmlformats.org/officeDocument/2006/relationships/hyperlink" Target="mailto:Abhishek@movel.ai" TargetMode="External"/><Relationship Id="rId908" Type="http://schemas.openxmlformats.org/officeDocument/2006/relationships/hyperlink" Target="https://b2book.net/" TargetMode="External"/><Relationship Id="rId1233" Type="http://schemas.openxmlformats.org/officeDocument/2006/relationships/hyperlink" Target="https://www.f6s.com/jobs/38496/orda/software-engineer" TargetMode="External"/><Relationship Id="rId242" Type="http://schemas.openxmlformats.org/officeDocument/2006/relationships/hyperlink" Target="mailto:Javier@presnsr.com" TargetMode="External"/><Relationship Id="rId894" Type="http://schemas.openxmlformats.org/officeDocument/2006/relationships/hyperlink" Target="https://www.linkedin.com/in/bryanogden1/" TargetMode="External"/><Relationship Id="rId1177" Type="http://schemas.openxmlformats.org/officeDocument/2006/relationships/hyperlink" Target="https://www.linkedin.com/company/webpunch/" TargetMode="External"/><Relationship Id="rId1300" Type="http://schemas.openxmlformats.org/officeDocument/2006/relationships/hyperlink" Target="https://workinstartups.com/job-board/job/73734/software-engineers-who-want-to-make-life-better-at-ayuda-heuristics/" TargetMode="External"/><Relationship Id="rId37" Type="http://schemas.openxmlformats.org/officeDocument/2006/relationships/hyperlink" Target="mailto:dw@deemples.com" TargetMode="External"/><Relationship Id="rId102" Type="http://schemas.openxmlformats.org/officeDocument/2006/relationships/hyperlink" Target="http://www.besceneapp.com/" TargetMode="External"/><Relationship Id="rId547" Type="http://schemas.openxmlformats.org/officeDocument/2006/relationships/hyperlink" Target="https://www.linkedin.com/company/doctor-anywhere-pte-ltd/" TargetMode="External"/><Relationship Id="rId754" Type="http://schemas.openxmlformats.org/officeDocument/2006/relationships/hyperlink" Target="https://www.linkedin.com/company/asiamx/" TargetMode="External"/><Relationship Id="rId961" Type="http://schemas.openxmlformats.org/officeDocument/2006/relationships/hyperlink" Target="https://www.linkedin.com/in/alanames/" TargetMode="External"/><Relationship Id="rId1384" Type="http://schemas.openxmlformats.org/officeDocument/2006/relationships/hyperlink" Target="https://www.linkedin.com/company/sync-money/" TargetMode="External"/><Relationship Id="rId90" Type="http://schemas.openxmlformats.org/officeDocument/2006/relationships/hyperlink" Target="http://startupjobs.asia/job/38294-software-engineer-python-reactjs-full-stack-developer-collabhero-anywhere" TargetMode="External"/><Relationship Id="rId186" Type="http://schemas.openxmlformats.org/officeDocument/2006/relationships/hyperlink" Target="mailto:Joseph.Lum@auk.industries" TargetMode="External"/><Relationship Id="rId393" Type="http://schemas.openxmlformats.org/officeDocument/2006/relationships/hyperlink" Target="https://www.linkedin.com/company/discourze/" TargetMode="External"/><Relationship Id="rId407" Type="http://schemas.openxmlformats.org/officeDocument/2006/relationships/hyperlink" Target="https://angel.co/nevaal" TargetMode="External"/><Relationship Id="rId614" Type="http://schemas.openxmlformats.org/officeDocument/2006/relationships/hyperlink" Target="mailto:sam.ho@thinkcol.com" TargetMode="External"/><Relationship Id="rId821" Type="http://schemas.openxmlformats.org/officeDocument/2006/relationships/hyperlink" Target="https://www.untangle.ai/" TargetMode="External"/><Relationship Id="rId1037" Type="http://schemas.openxmlformats.org/officeDocument/2006/relationships/hyperlink" Target="mailto:Adam@wecudos.com" TargetMode="External"/><Relationship Id="rId1244" Type="http://schemas.openxmlformats.org/officeDocument/2006/relationships/hyperlink" Target="https://workinstartups.com/job-board/job/73690/unity-developer-for-theme-park-projects-at-nameless-interactive/" TargetMode="External"/><Relationship Id="rId253" Type="http://schemas.openxmlformats.org/officeDocument/2006/relationships/hyperlink" Target="mailto:D.sola@archangel.im" TargetMode="External"/><Relationship Id="rId460" Type="http://schemas.openxmlformats.org/officeDocument/2006/relationships/hyperlink" Target="https://www.techinasia.com/jobs/16268b5c-2358-4be3-804e-c7ea120f2b15" TargetMode="External"/><Relationship Id="rId698" Type="http://schemas.openxmlformats.org/officeDocument/2006/relationships/hyperlink" Target="https://www.amplifyintelligence.com/" TargetMode="External"/><Relationship Id="rId919" Type="http://schemas.openxmlformats.org/officeDocument/2006/relationships/hyperlink" Target="https://www.voomenu.com/" TargetMode="External"/><Relationship Id="rId1090" Type="http://schemas.openxmlformats.org/officeDocument/2006/relationships/hyperlink" Target="mailto:websites@quaira.com" TargetMode="External"/><Relationship Id="rId1104" Type="http://schemas.openxmlformats.org/officeDocument/2006/relationships/hyperlink" Target="mailto:hello@hannahblair.co.uk" TargetMode="External"/><Relationship Id="rId1311" Type="http://schemas.openxmlformats.org/officeDocument/2006/relationships/hyperlink" Target="https://workinstartups.com/job-board/job/73520/junior-software-developer-at-core-blue/" TargetMode="External"/><Relationship Id="rId48" Type="http://schemas.openxmlformats.org/officeDocument/2006/relationships/hyperlink" Target="mailto:t@vediohead.com" TargetMode="External"/><Relationship Id="rId113" Type="http://schemas.openxmlformats.org/officeDocument/2006/relationships/hyperlink" Target="http://www.actigage.com/" TargetMode="External"/><Relationship Id="rId320" Type="http://schemas.openxmlformats.org/officeDocument/2006/relationships/hyperlink" Target="https://www.linkedin.com/company/tripmedic/" TargetMode="External"/><Relationship Id="rId558" Type="http://schemas.openxmlformats.org/officeDocument/2006/relationships/hyperlink" Target="https://www.linkedin.com/company/lianeapp/" TargetMode="External"/><Relationship Id="rId765" Type="http://schemas.openxmlformats.org/officeDocument/2006/relationships/hyperlink" Target="mailto:marie@krispykrush.com" TargetMode="External"/><Relationship Id="rId972" Type="http://schemas.openxmlformats.org/officeDocument/2006/relationships/hyperlink" Target="https://my1min.com/" TargetMode="External"/><Relationship Id="rId1188" Type="http://schemas.openxmlformats.org/officeDocument/2006/relationships/hyperlink" Target="mailto:Caroline@alittlefind.com" TargetMode="External"/><Relationship Id="rId1395" Type="http://schemas.openxmlformats.org/officeDocument/2006/relationships/hyperlink" Target="https://www.linkedin.com/company/bescene-app/" TargetMode="External"/><Relationship Id="rId1409" Type="http://schemas.openxmlformats.org/officeDocument/2006/relationships/hyperlink" Target="https://www.linkedin.com/company/vervvlux/" TargetMode="External"/><Relationship Id="rId197" Type="http://schemas.openxmlformats.org/officeDocument/2006/relationships/hyperlink" Target="https://www.linkedin.com/company/groupstar/" TargetMode="External"/><Relationship Id="rId418" Type="http://schemas.openxmlformats.org/officeDocument/2006/relationships/hyperlink" Target="http://startupjobs.asia/job/38845-rest-api-and-web-developer-it-inproved-singapore" TargetMode="External"/><Relationship Id="rId625" Type="http://schemas.openxmlformats.org/officeDocument/2006/relationships/hyperlink" Target="http://startupjobs.asia/job/38043-ui-ux-designer-cum-project-manager-ui-ux-encore-med-sdn-bhd-malaysia" TargetMode="External"/><Relationship Id="rId832" Type="http://schemas.openxmlformats.org/officeDocument/2006/relationships/hyperlink" Target="https://www.techinasia.com/jobs/05b5b682-9ff3-46f2-96be-a8496b3f1663" TargetMode="External"/><Relationship Id="rId1048" Type="http://schemas.openxmlformats.org/officeDocument/2006/relationships/hyperlink" Target="http://startupjobs.asia/job/39877-ui-ux-lead-ui-ux-postco-malaysia" TargetMode="External"/><Relationship Id="rId1255" Type="http://schemas.openxmlformats.org/officeDocument/2006/relationships/hyperlink" Target="mailto:tomek@squirrel.me" TargetMode="External"/><Relationship Id="rId264" Type="http://schemas.openxmlformats.org/officeDocument/2006/relationships/hyperlink" Target="https://www.linkedin.com/company/parkware/" TargetMode="External"/><Relationship Id="rId471" Type="http://schemas.openxmlformats.org/officeDocument/2006/relationships/hyperlink" Target="mailto:hello@wantthingsdone.com" TargetMode="External"/><Relationship Id="rId1115" Type="http://schemas.openxmlformats.org/officeDocument/2006/relationships/hyperlink" Target="https://www.linkedin.com/company/brightangle/" TargetMode="External"/><Relationship Id="rId1322" Type="http://schemas.openxmlformats.org/officeDocument/2006/relationships/hyperlink" Target="https://workinstartups.com/job-board/job/73465/senior-python-developer-remote-at-causalens/" TargetMode="External"/><Relationship Id="rId59" Type="http://schemas.openxmlformats.org/officeDocument/2006/relationships/hyperlink" Target="https://e27.co/job/alemhealth/full-stack-developer" TargetMode="External"/><Relationship Id="rId124" Type="http://schemas.openxmlformats.org/officeDocument/2006/relationships/hyperlink" Target="mailto:sales@actigage.com" TargetMode="External"/><Relationship Id="rId569" Type="http://schemas.openxmlformats.org/officeDocument/2006/relationships/hyperlink" Target="https://angel.co/mobly-1" TargetMode="External"/><Relationship Id="rId776" Type="http://schemas.openxmlformats.org/officeDocument/2006/relationships/hyperlink" Target="https://www.f6s.com/jobs/37027/monkee/cto-full-stack-developer" TargetMode="External"/><Relationship Id="rId983" Type="http://schemas.openxmlformats.org/officeDocument/2006/relationships/hyperlink" Target="http://www.avenue8.ca/" TargetMode="External"/><Relationship Id="rId1199" Type="http://schemas.openxmlformats.org/officeDocument/2006/relationships/hyperlink" Target="https://www.linkedin.com/company/propine-capital/" TargetMode="External"/><Relationship Id="rId331" Type="http://schemas.openxmlformats.org/officeDocument/2006/relationships/hyperlink" Target="https://www.techinasia.com/jobs/52bcfdf3-88e9-401e-ba18-7fc59933146f" TargetMode="External"/><Relationship Id="rId429" Type="http://schemas.openxmlformats.org/officeDocument/2006/relationships/hyperlink" Target="https://www.linkedin.com/company/plato-medical/" TargetMode="External"/><Relationship Id="rId636" Type="http://schemas.openxmlformats.org/officeDocument/2006/relationships/hyperlink" Target="https://www.linkedin.com/company/accela/" TargetMode="External"/><Relationship Id="rId1059" Type="http://schemas.openxmlformats.org/officeDocument/2006/relationships/hyperlink" Target="http://startupjobs.asia/job/39861-tech-lead-it-hapz-singapore" TargetMode="External"/><Relationship Id="rId1266" Type="http://schemas.openxmlformats.org/officeDocument/2006/relationships/hyperlink" Target="https://workinstartups.com/job-board/job/73561/full-stack-web-developer-at-therapy-box/" TargetMode="External"/><Relationship Id="rId843" Type="http://schemas.openxmlformats.org/officeDocument/2006/relationships/hyperlink" Target="https://www.linkedin.com/company/kota-creative/" TargetMode="External"/><Relationship Id="rId1126" Type="http://schemas.openxmlformats.org/officeDocument/2006/relationships/hyperlink" Target="https://www.rebelrolemodel.com/" TargetMode="External"/><Relationship Id="rId275" Type="http://schemas.openxmlformats.org/officeDocument/2006/relationships/hyperlink" Target="https://www.f6s.com/jobs/36356/goparkr/software-engineer-frontend-remote-ok" TargetMode="External"/><Relationship Id="rId482" Type="http://schemas.openxmlformats.org/officeDocument/2006/relationships/hyperlink" Target="https://www.f6s.com/jobs/36764/letmepark.es/backend-app-developer" TargetMode="External"/><Relationship Id="rId703" Type="http://schemas.openxmlformats.org/officeDocument/2006/relationships/hyperlink" Target="mailto:YHassan@transpooler.com" TargetMode="External"/><Relationship Id="rId910" Type="http://schemas.openxmlformats.org/officeDocument/2006/relationships/hyperlink" Target="https://www.f6s.com/jobs/37465/b2book.net/full-stack-developer" TargetMode="External"/><Relationship Id="rId1333" Type="http://schemas.openxmlformats.org/officeDocument/2006/relationships/hyperlink" Target="https://www.f6s.com/jobs/38523/bakkaldan/full-stack-php-developer" TargetMode="External"/><Relationship Id="rId135" Type="http://schemas.openxmlformats.org/officeDocument/2006/relationships/hyperlink" Target="http://startupjobs.asia/job/37763-full-stack-developer-fatfish-internet-group-anywhere" TargetMode="External"/><Relationship Id="rId342" Type="http://schemas.openxmlformats.org/officeDocument/2006/relationships/hyperlink" Target="https://www.linkedin.com/company/%CE%B1wallet/" TargetMode="External"/><Relationship Id="rId787" Type="http://schemas.openxmlformats.org/officeDocument/2006/relationships/hyperlink" Target="mailto:info@premia.network" TargetMode="External"/><Relationship Id="rId994" Type="http://schemas.openxmlformats.org/officeDocument/2006/relationships/hyperlink" Target="https://iwoop.com/" TargetMode="External"/><Relationship Id="rId1400" Type="http://schemas.openxmlformats.org/officeDocument/2006/relationships/hyperlink" Target="https://www.linkedin.com/company/scape-technologies-ltd/" TargetMode="External"/><Relationship Id="rId202" Type="http://schemas.openxmlformats.org/officeDocument/2006/relationships/hyperlink" Target="https://www.linkedin.com/company/activelyinc/" TargetMode="External"/><Relationship Id="rId647" Type="http://schemas.openxmlformats.org/officeDocument/2006/relationships/hyperlink" Target="mailto:drakewoon@gmail.com" TargetMode="External"/><Relationship Id="rId854" Type="http://schemas.openxmlformats.org/officeDocument/2006/relationships/hyperlink" Target="https://www.linkedin.com/in/etienne-ayuk-946626143/" TargetMode="External"/><Relationship Id="rId1277" Type="http://schemas.openxmlformats.org/officeDocument/2006/relationships/hyperlink" Target="https://www.techinasia.com/jobs/682ea8bf-97d0-478b-a0bc-3b2ac6d39d63" TargetMode="External"/><Relationship Id="rId286" Type="http://schemas.openxmlformats.org/officeDocument/2006/relationships/hyperlink" Target="https://www.linkedin.com/company/ppc-protect-limited/" TargetMode="External"/><Relationship Id="rId493" Type="http://schemas.openxmlformats.org/officeDocument/2006/relationships/hyperlink" Target="https://angel.co/digitagency" TargetMode="External"/><Relationship Id="rId507" Type="http://schemas.openxmlformats.org/officeDocument/2006/relationships/hyperlink" Target="mailto:hello@mightcast.com" TargetMode="External"/><Relationship Id="rId714" Type="http://schemas.openxmlformats.org/officeDocument/2006/relationships/hyperlink" Target="https://www.linkedin.com/company/issme-student-services-inc/?originalSubdomain=in" TargetMode="External"/><Relationship Id="rId921" Type="http://schemas.openxmlformats.org/officeDocument/2006/relationships/hyperlink" Target="http://knowlers.com/" TargetMode="External"/><Relationship Id="rId1137" Type="http://schemas.openxmlformats.org/officeDocument/2006/relationships/hyperlink" Target="https://www.linkedin.com/company/zinghealth/" TargetMode="External"/><Relationship Id="rId1344" Type="http://schemas.openxmlformats.org/officeDocument/2006/relationships/hyperlink" Target="mailto:Huub@scape.io" TargetMode="External"/><Relationship Id="rId50" Type="http://schemas.openxmlformats.org/officeDocument/2006/relationships/hyperlink" Target="https://www.techinasia.com/jobs/65907690-83b2-49e4-8ae4-2debbf66499a" TargetMode="External"/><Relationship Id="rId146" Type="http://schemas.openxmlformats.org/officeDocument/2006/relationships/hyperlink" Target="mailto:Izumi@bereev.com" TargetMode="External"/><Relationship Id="rId353" Type="http://schemas.openxmlformats.org/officeDocument/2006/relationships/hyperlink" Target="https://www.f6s.com/jobs/36675/antenna-detect.protect.evaluate/cto" TargetMode="External"/><Relationship Id="rId560" Type="http://schemas.openxmlformats.org/officeDocument/2006/relationships/hyperlink" Target="https://myliane.com/" TargetMode="External"/><Relationship Id="rId798" Type="http://schemas.openxmlformats.org/officeDocument/2006/relationships/hyperlink" Target="mailto:Ernest@hookcoffee.com.sg" TargetMode="External"/><Relationship Id="rId1190" Type="http://schemas.openxmlformats.org/officeDocument/2006/relationships/hyperlink" Target="mailto:John@incentivegames.com" TargetMode="External"/><Relationship Id="rId1204" Type="http://schemas.openxmlformats.org/officeDocument/2006/relationships/hyperlink" Target="https://liangzan.net/" TargetMode="External"/><Relationship Id="rId213" Type="http://schemas.openxmlformats.org/officeDocument/2006/relationships/hyperlink" Target="http://startupjobs.asia/job/38614-software-engineer-intern-interested-in-blockchain-technology-full-stack-developer-tetrium-malaysia" TargetMode="External"/><Relationship Id="rId420" Type="http://schemas.openxmlformats.org/officeDocument/2006/relationships/hyperlink" Target="mailto:support@passkit.com" TargetMode="External"/><Relationship Id="rId658" Type="http://schemas.openxmlformats.org/officeDocument/2006/relationships/hyperlink" Target="mailto:ray@oceannexus.my" TargetMode="External"/><Relationship Id="rId865" Type="http://schemas.openxmlformats.org/officeDocument/2006/relationships/hyperlink" Target="https://www.linkedin.com/company/bellamaterna-brasil/" TargetMode="External"/><Relationship Id="rId1050" Type="http://schemas.openxmlformats.org/officeDocument/2006/relationships/hyperlink" Target="https://postco.com.my/" TargetMode="External"/><Relationship Id="rId1288" Type="http://schemas.openxmlformats.org/officeDocument/2006/relationships/hyperlink" Target="https://www.f6s.com/jobs/38510/pionr/full-stack-developer" TargetMode="External"/><Relationship Id="rId297" Type="http://schemas.openxmlformats.org/officeDocument/2006/relationships/hyperlink" Target="https://www.f6s.com/jobs/36303/see-modetechnologies/computer-vision-engineer" TargetMode="External"/><Relationship Id="rId518" Type="http://schemas.openxmlformats.org/officeDocument/2006/relationships/hyperlink" Target="http://www.pre-launch-website.com/" TargetMode="External"/><Relationship Id="rId725" Type="http://schemas.openxmlformats.org/officeDocument/2006/relationships/hyperlink" Target="mailto:michael@auchenberg.dk" TargetMode="External"/><Relationship Id="rId932" Type="http://schemas.openxmlformats.org/officeDocument/2006/relationships/hyperlink" Target="https://www.tazesef.com/" TargetMode="External"/><Relationship Id="rId1148" Type="http://schemas.openxmlformats.org/officeDocument/2006/relationships/hyperlink" Target="mailto:Alex.Koumpas@quanterium.tech/Alex@quanterium.tech" TargetMode="External"/><Relationship Id="rId1355" Type="http://schemas.openxmlformats.org/officeDocument/2006/relationships/hyperlink" Target="https://www.betasight.com/" TargetMode="External"/><Relationship Id="rId157" Type="http://schemas.openxmlformats.org/officeDocument/2006/relationships/hyperlink" Target="https://uhooair.com/" TargetMode="External"/><Relationship Id="rId364" Type="http://schemas.openxmlformats.org/officeDocument/2006/relationships/hyperlink" Target="https://templaterobot.co/" TargetMode="External"/><Relationship Id="rId1008" Type="http://schemas.openxmlformats.org/officeDocument/2006/relationships/hyperlink" Target="https://www.linkedin.com/company/gabbi-ai/" TargetMode="External"/><Relationship Id="rId1215" Type="http://schemas.openxmlformats.org/officeDocument/2006/relationships/hyperlink" Target="http://startupjobs.asia/job/40773-ruby-on-rails-developer-full-stack-developer-upstack-studio-malaysia" TargetMode="External"/><Relationship Id="rId61" Type="http://schemas.openxmlformats.org/officeDocument/2006/relationships/hyperlink" Target="mailto:Neha@inventrik.com" TargetMode="External"/><Relationship Id="rId571" Type="http://schemas.openxmlformats.org/officeDocument/2006/relationships/hyperlink" Target="https://angel.co/elementus/jobs/381833-full-stack-developer" TargetMode="External"/><Relationship Id="rId669" Type="http://schemas.openxmlformats.org/officeDocument/2006/relationships/hyperlink" Target="mailto:sem.chong@carmen.sg" TargetMode="External"/><Relationship Id="rId876" Type="http://schemas.openxmlformats.org/officeDocument/2006/relationships/hyperlink" Target="https://neverfiat.com/" TargetMode="External"/><Relationship Id="rId1299" Type="http://schemas.openxmlformats.org/officeDocument/2006/relationships/hyperlink" Target="https://www.linkedin.com/company/ayuda-heuristics/" TargetMode="External"/><Relationship Id="rId19" Type="http://schemas.openxmlformats.org/officeDocument/2006/relationships/hyperlink" Target="https://sevensict.nl/" TargetMode="External"/><Relationship Id="rId224" Type="http://schemas.openxmlformats.org/officeDocument/2006/relationships/hyperlink" Target="https://www.linkedin.com/company/codigeeks/" TargetMode="External"/><Relationship Id="rId431" Type="http://schemas.openxmlformats.org/officeDocument/2006/relationships/hyperlink" Target="https://platomedical.com/" TargetMode="External"/><Relationship Id="rId529" Type="http://schemas.openxmlformats.org/officeDocument/2006/relationships/hyperlink" Target="http://www.caltdynamics.com/" TargetMode="External"/><Relationship Id="rId736" Type="http://schemas.openxmlformats.org/officeDocument/2006/relationships/hyperlink" Target="https://www.f6s.com/jobs/37136/virtubio/senior-backend-developer" TargetMode="External"/><Relationship Id="rId1061" Type="http://schemas.openxmlformats.org/officeDocument/2006/relationships/hyperlink" Target="http://heli-cap.com/" TargetMode="External"/><Relationship Id="rId1159" Type="http://schemas.openxmlformats.org/officeDocument/2006/relationships/hyperlink" Target="mailto:info@sitemate.com" TargetMode="External"/><Relationship Id="rId1366" Type="http://schemas.openxmlformats.org/officeDocument/2006/relationships/hyperlink" Target="mailto:Pablo.Lopes@zottomobile.com.br" TargetMode="External"/><Relationship Id="rId168" Type="http://schemas.openxmlformats.org/officeDocument/2006/relationships/hyperlink" Target="mailto:hello@fidentiax.com" TargetMode="External"/><Relationship Id="rId943" Type="http://schemas.openxmlformats.org/officeDocument/2006/relationships/hyperlink" Target="http://www.adtonos.com/" TargetMode="External"/><Relationship Id="rId1019" Type="http://schemas.openxmlformats.org/officeDocument/2006/relationships/hyperlink" Target="mailto:Chongsu@robophysio.com" TargetMode="External"/><Relationship Id="rId72" Type="http://schemas.openxmlformats.org/officeDocument/2006/relationships/hyperlink" Target="https://www.linkedin.com/company/upleapdotcom/" TargetMode="External"/><Relationship Id="rId375" Type="http://schemas.openxmlformats.org/officeDocument/2006/relationships/hyperlink" Target="mailto:Olga@hireflows.com" TargetMode="External"/><Relationship Id="rId582" Type="http://schemas.openxmlformats.org/officeDocument/2006/relationships/hyperlink" Target="https://sopinet.com/" TargetMode="External"/><Relationship Id="rId803" Type="http://schemas.openxmlformats.org/officeDocument/2006/relationships/hyperlink" Target="mailto:contact@jetzyapp.com" TargetMode="External"/><Relationship Id="rId1226" Type="http://schemas.openxmlformats.org/officeDocument/2006/relationships/hyperlink" Target="https://workinstartups.com/job-board/job/73674/ios-app-developer-for-peer-to-peer-pre-owned-goods-marketplace-at-elysian-ai-product-vendi/" TargetMode="External"/><Relationship Id="rId3" Type="http://schemas.openxmlformats.org/officeDocument/2006/relationships/hyperlink" Target="https://e27.co/startup/boxclue" TargetMode="External"/><Relationship Id="rId235" Type="http://schemas.openxmlformats.org/officeDocument/2006/relationships/hyperlink" Target="mailto:career@cybersprout.com" TargetMode="External"/><Relationship Id="rId442" Type="http://schemas.openxmlformats.org/officeDocument/2006/relationships/hyperlink" Target="http://www.ie-pl.com/" TargetMode="External"/><Relationship Id="rId887" Type="http://schemas.openxmlformats.org/officeDocument/2006/relationships/hyperlink" Target="https://www.linkedin.com/company/aptap-ltd/" TargetMode="External"/><Relationship Id="rId1072" Type="http://schemas.openxmlformats.org/officeDocument/2006/relationships/hyperlink" Target="https://www.linkedin.com/in/sabina-y-tang-50ba4566/" TargetMode="External"/><Relationship Id="rId302" Type="http://schemas.openxmlformats.org/officeDocument/2006/relationships/hyperlink" Target="mailto:Ed@thedealerapp.co.uk" TargetMode="External"/><Relationship Id="rId747" Type="http://schemas.openxmlformats.org/officeDocument/2006/relationships/hyperlink" Target="mailto:sales@synchroweb.com" TargetMode="External"/><Relationship Id="rId954" Type="http://schemas.openxmlformats.org/officeDocument/2006/relationships/hyperlink" Target="https://www.linkedin.com/in/amin-idris-664853b1/" TargetMode="External"/><Relationship Id="rId1377" Type="http://schemas.openxmlformats.org/officeDocument/2006/relationships/hyperlink" Target="https://workinstartups.com/job-board/job/73285/software-developer-at-arctoris/" TargetMode="External"/><Relationship Id="rId83" Type="http://schemas.openxmlformats.org/officeDocument/2006/relationships/hyperlink" Target="mailto:contact@emagin.ca" TargetMode="External"/><Relationship Id="rId179" Type="http://schemas.openxmlformats.org/officeDocument/2006/relationships/hyperlink" Target="https://www.techinasia.com/jobs/a8a87287-ddb9-450f-9ee8-984d5cd7dc2c" TargetMode="External"/><Relationship Id="rId386" Type="http://schemas.openxmlformats.org/officeDocument/2006/relationships/hyperlink" Target="https://kopernio.com/" TargetMode="External"/><Relationship Id="rId593" Type="http://schemas.openxmlformats.org/officeDocument/2006/relationships/hyperlink" Target="http://manjalabs.com/" TargetMode="External"/><Relationship Id="rId607" Type="http://schemas.openxmlformats.org/officeDocument/2006/relationships/hyperlink" Target="https://www.linkedin.com/in/karen-fairclough-ng-0b874a12/" TargetMode="External"/><Relationship Id="rId814" Type="http://schemas.openxmlformats.org/officeDocument/2006/relationships/hyperlink" Target="https://www.techinasia.com/jobs/3116e2a3-f3af-4cda-86e5-1a91169d66ba" TargetMode="External"/><Relationship Id="rId1237" Type="http://schemas.openxmlformats.org/officeDocument/2006/relationships/hyperlink" Target="https://www.aiofitnessuk.com/" TargetMode="External"/><Relationship Id="rId246" Type="http://schemas.openxmlformats.org/officeDocument/2006/relationships/hyperlink" Target="https://www.linkedin.com/in/dr-mohamed-warda/" TargetMode="External"/><Relationship Id="rId453" Type="http://schemas.openxmlformats.org/officeDocument/2006/relationships/hyperlink" Target="https://www.linkedin.com/company/seedly/" TargetMode="External"/><Relationship Id="rId660" Type="http://schemas.openxmlformats.org/officeDocument/2006/relationships/hyperlink" Target="https://www.linkedin.com/company/ocean-nexus-sdn-bhd/" TargetMode="External"/><Relationship Id="rId898" Type="http://schemas.openxmlformats.org/officeDocument/2006/relationships/hyperlink" Target="https://www.linkedin.com/company/qvsta/" TargetMode="External"/><Relationship Id="rId1083" Type="http://schemas.openxmlformats.org/officeDocument/2006/relationships/hyperlink" Target="https://moneymall.ae/" TargetMode="External"/><Relationship Id="rId1290" Type="http://schemas.openxmlformats.org/officeDocument/2006/relationships/hyperlink" Target="https://pionr.com/" TargetMode="External"/><Relationship Id="rId1304" Type="http://schemas.openxmlformats.org/officeDocument/2006/relationships/hyperlink" Target="https://workinstartups.com/job-board/job/73549/front-end-developer-reactjs-at-gettrik/" TargetMode="External"/><Relationship Id="rId106" Type="http://schemas.openxmlformats.org/officeDocument/2006/relationships/hyperlink" Target="mailto:MICHAEL@dioworksgroup.com" TargetMode="External"/><Relationship Id="rId313" Type="http://schemas.openxmlformats.org/officeDocument/2006/relationships/hyperlink" Target="https://www.f6s.com/jobs/36244/jingle/lead-web-developer-full-time/" TargetMode="External"/><Relationship Id="rId758" Type="http://schemas.openxmlformats.org/officeDocument/2006/relationships/hyperlink" Target="mailto:Edwin@capitalbay.com.my" TargetMode="External"/><Relationship Id="rId965" Type="http://schemas.openxmlformats.org/officeDocument/2006/relationships/hyperlink" Target="https://www.linkedin.com/in/alberto-porzio-999302a6/" TargetMode="External"/><Relationship Id="rId1150" Type="http://schemas.openxmlformats.org/officeDocument/2006/relationships/hyperlink" Target="https://fweels.com/" TargetMode="External"/><Relationship Id="rId1388" Type="http://schemas.openxmlformats.org/officeDocument/2006/relationships/hyperlink" Target="https://www.linkedin.com/company/n-int/" TargetMode="External"/><Relationship Id="rId10" Type="http://schemas.openxmlformats.org/officeDocument/2006/relationships/hyperlink" Target="mailto:Catherine@tidecreatives.com" TargetMode="External"/><Relationship Id="rId94" Type="http://schemas.openxmlformats.org/officeDocument/2006/relationships/hyperlink" Target="mailto:info@ifcontech.com" TargetMode="External"/><Relationship Id="rId397" Type="http://schemas.openxmlformats.org/officeDocument/2006/relationships/hyperlink" Target="https://angel.co/futways" TargetMode="External"/><Relationship Id="rId520" Type="http://schemas.openxmlformats.org/officeDocument/2006/relationships/hyperlink" Target="https://www.linkedin.com/company/atelier-&amp;-avenue/" TargetMode="External"/><Relationship Id="rId618" Type="http://schemas.openxmlformats.org/officeDocument/2006/relationships/hyperlink" Target="https://www.linkedin.com/company/the2uo/" TargetMode="External"/><Relationship Id="rId825" Type="http://schemas.openxmlformats.org/officeDocument/2006/relationships/hyperlink" Target="mailto:steven@vibease.com" TargetMode="External"/><Relationship Id="rId1248" Type="http://schemas.openxmlformats.org/officeDocument/2006/relationships/hyperlink" Target="https://www.nimbla.com/" TargetMode="External"/><Relationship Id="rId257" Type="http://schemas.openxmlformats.org/officeDocument/2006/relationships/hyperlink" Target="mailto:charlie@igeolize.com" TargetMode="External"/><Relationship Id="rId464" Type="http://schemas.openxmlformats.org/officeDocument/2006/relationships/hyperlink" Target="mailto:collab@zynesis.com" TargetMode="External"/><Relationship Id="rId1010" Type="http://schemas.openxmlformats.org/officeDocument/2006/relationships/hyperlink" Target="mailto:info@innerspace.at" TargetMode="External"/><Relationship Id="rId1094" Type="http://schemas.openxmlformats.org/officeDocument/2006/relationships/hyperlink" Target="https://www.f6s.com/jobs/37766/quaira/ui-ux-designer" TargetMode="External"/><Relationship Id="rId1108" Type="http://schemas.openxmlformats.org/officeDocument/2006/relationships/hyperlink" Target="https://angel.co/pharmavgate-academy" TargetMode="External"/><Relationship Id="rId1315" Type="http://schemas.openxmlformats.org/officeDocument/2006/relationships/hyperlink" Target="https://workinstartups.com/job-board/job/73491/technical-leader-potential-cto-at-collective-iq-group-ltd/" TargetMode="External"/><Relationship Id="rId117" Type="http://schemas.openxmlformats.org/officeDocument/2006/relationships/hyperlink" Target="http://www.btinnolab.com/" TargetMode="External"/><Relationship Id="rId671" Type="http://schemas.openxmlformats.org/officeDocument/2006/relationships/hyperlink" Target="https://www.techinasia.com/jobs/468cceba-d5a6-4295-83c0-9abf9f73f2e3" TargetMode="External"/><Relationship Id="rId769" Type="http://schemas.openxmlformats.org/officeDocument/2006/relationships/hyperlink" Target="mailto:shanshan@getmucho.com" TargetMode="External"/><Relationship Id="rId976" Type="http://schemas.openxmlformats.org/officeDocument/2006/relationships/hyperlink" Target="mailto:info@memento.media" TargetMode="External"/><Relationship Id="rId1399" Type="http://schemas.openxmlformats.org/officeDocument/2006/relationships/hyperlink" Target="https://www.linkedin.com/company/camcheck/" TargetMode="External"/><Relationship Id="rId324" Type="http://schemas.openxmlformats.org/officeDocument/2006/relationships/hyperlink" Target="mailto:EA@chainstack.com" TargetMode="External"/><Relationship Id="rId531" Type="http://schemas.openxmlformats.org/officeDocument/2006/relationships/hyperlink" Target="https://www.linkedin.com/company/appvia/" TargetMode="External"/><Relationship Id="rId629" Type="http://schemas.openxmlformats.org/officeDocument/2006/relationships/hyperlink" Target="mailto:sales@eunoia.asia" TargetMode="External"/><Relationship Id="rId1161" Type="http://schemas.openxmlformats.org/officeDocument/2006/relationships/hyperlink" Target="https://www.linkedin.com/company/sitemate-technologies/" TargetMode="External"/><Relationship Id="rId1259" Type="http://schemas.openxmlformats.org/officeDocument/2006/relationships/hyperlink" Target="https://workinstartups.com/job-board/job/73594/full-stack-engineer-at-migacore-technologies/" TargetMode="External"/><Relationship Id="rId836" Type="http://schemas.openxmlformats.org/officeDocument/2006/relationships/hyperlink" Target="https://spreadsheep.io/" TargetMode="External"/><Relationship Id="rId1021" Type="http://schemas.openxmlformats.org/officeDocument/2006/relationships/hyperlink" Target="mailto:angel_virgo_6583@hotmail.com" TargetMode="External"/><Relationship Id="rId1119" Type="http://schemas.openxmlformats.org/officeDocument/2006/relationships/hyperlink" Target="mailto:Dawn@livelovekoi.com" TargetMode="External"/><Relationship Id="rId903" Type="http://schemas.openxmlformats.org/officeDocument/2006/relationships/hyperlink" Target="mailto:Ming@tg0.co.uk" TargetMode="External"/><Relationship Id="rId1326" Type="http://schemas.openxmlformats.org/officeDocument/2006/relationships/hyperlink" Target="mailto:enquiries@aquilalogic.com.sg" TargetMode="External"/><Relationship Id="rId32" Type="http://schemas.openxmlformats.org/officeDocument/2006/relationships/hyperlink" Target="https://www.linkedin.com/in/ian-yeo-8b989867/" TargetMode="External"/><Relationship Id="rId181" Type="http://schemas.openxmlformats.org/officeDocument/2006/relationships/hyperlink" Target="https://www.pointhacks.com.au/%20%20-" TargetMode="External"/><Relationship Id="rId279" Type="http://schemas.openxmlformats.org/officeDocument/2006/relationships/hyperlink" Target="https://www.f6s.com/jobs/36492/kopernio/senior-front-end-developer" TargetMode="External"/><Relationship Id="rId486" Type="http://schemas.openxmlformats.org/officeDocument/2006/relationships/hyperlink" Target="mailto:contact@vypno.com" TargetMode="External"/><Relationship Id="rId693" Type="http://schemas.openxmlformats.org/officeDocument/2006/relationships/hyperlink" Target="https://www.weedea.com/" TargetMode="External"/><Relationship Id="rId139" Type="http://schemas.openxmlformats.org/officeDocument/2006/relationships/hyperlink" Target="mailto:expert@vase.ai" TargetMode="External"/><Relationship Id="rId346" Type="http://schemas.openxmlformats.org/officeDocument/2006/relationships/hyperlink" Target="https://www.linkedin.com/company/gowild-singapore-pte-ltd/?originalSubdomain=in" TargetMode="External"/><Relationship Id="rId553" Type="http://schemas.openxmlformats.org/officeDocument/2006/relationships/hyperlink" Target="https://www.linkedin.com/company/cudy/" TargetMode="External"/><Relationship Id="rId760" Type="http://schemas.openxmlformats.org/officeDocument/2006/relationships/hyperlink" Target="https://www.techinasia.com/jobs/61662b12-13b0-4fca-b3ab-92ec6204cbba" TargetMode="External"/><Relationship Id="rId998" Type="http://schemas.openxmlformats.org/officeDocument/2006/relationships/hyperlink" Target="https://majagames.com/" TargetMode="External"/><Relationship Id="rId1183" Type="http://schemas.openxmlformats.org/officeDocument/2006/relationships/hyperlink" Target="https://www.linkedin.com/company/alt-dot/" TargetMode="External"/><Relationship Id="rId1390" Type="http://schemas.openxmlformats.org/officeDocument/2006/relationships/hyperlink" Target="https://www.linkedin.com/company/aio-fitness-uk-ltd/" TargetMode="External"/><Relationship Id="rId206" Type="http://schemas.openxmlformats.org/officeDocument/2006/relationships/hyperlink" Target="https://www.f6s.com/jobs/36377/jibblemusic/cto" TargetMode="External"/><Relationship Id="rId413" Type="http://schemas.openxmlformats.org/officeDocument/2006/relationships/hyperlink" Target="https://www.linkedin.com/in/manishdmsdigital/detail/contact-info/" TargetMode="External"/><Relationship Id="rId858" Type="http://schemas.openxmlformats.org/officeDocument/2006/relationships/hyperlink" Target="https://www.doorsvision.com/" TargetMode="External"/><Relationship Id="rId1043" Type="http://schemas.openxmlformats.org/officeDocument/2006/relationships/hyperlink" Target="mailto:Michael.Nagler@beez.world" TargetMode="External"/><Relationship Id="rId620" Type="http://schemas.openxmlformats.org/officeDocument/2006/relationships/hyperlink" Target="https://www.linkedin.com/in/patrickooi/" TargetMode="External"/><Relationship Id="rId718" Type="http://schemas.openxmlformats.org/officeDocument/2006/relationships/hyperlink" Target="mailto:info@wetaxi.it" TargetMode="External"/><Relationship Id="rId925" Type="http://schemas.openxmlformats.org/officeDocument/2006/relationships/hyperlink" Target="mailto:ado@seekadegree.com" TargetMode="External"/><Relationship Id="rId1250" Type="http://schemas.openxmlformats.org/officeDocument/2006/relationships/hyperlink" Target="https://www.venturist.io/" TargetMode="External"/><Relationship Id="rId1348" Type="http://schemas.openxmlformats.org/officeDocument/2006/relationships/hyperlink" Target="https://workinstartups.com/job-board/job/73798/full-stack-remote-angular-developer-at-verado/" TargetMode="External"/><Relationship Id="rId1110" Type="http://schemas.openxmlformats.org/officeDocument/2006/relationships/hyperlink" Target="mailto:info@pharmavgate.com" TargetMode="External"/><Relationship Id="rId1208" Type="http://schemas.openxmlformats.org/officeDocument/2006/relationships/hyperlink" Target="http://startupjobs.asia/job/40824-software-engineer-it-ctrlworks-pte-ltd-anywhere" TargetMode="External"/><Relationship Id="rId54" Type="http://schemas.openxmlformats.org/officeDocument/2006/relationships/hyperlink" Target="https://e27.co/job/lumiere32-pte-ltd/web-ui-ux-designer" TargetMode="External"/><Relationship Id="rId270" Type="http://schemas.openxmlformats.org/officeDocument/2006/relationships/hyperlink" Target="http://b-hive.com/" TargetMode="External"/><Relationship Id="rId130" Type="http://schemas.openxmlformats.org/officeDocument/2006/relationships/hyperlink" Target="mailto:Alvin@haulio.io" TargetMode="External"/><Relationship Id="rId368" Type="http://schemas.openxmlformats.org/officeDocument/2006/relationships/hyperlink" Target="https://www.f6s.com/roommatesrls/about" TargetMode="External"/><Relationship Id="rId575" Type="http://schemas.openxmlformats.org/officeDocument/2006/relationships/hyperlink" Target="mailto:hello@capexmove.io" TargetMode="External"/><Relationship Id="rId782" Type="http://schemas.openxmlformats.org/officeDocument/2006/relationships/hyperlink" Target="https://www.linkedin.com/company/vixtape/" TargetMode="External"/><Relationship Id="rId228" Type="http://schemas.openxmlformats.org/officeDocument/2006/relationships/hyperlink" Target="https://www.moonassist.com/" TargetMode="External"/><Relationship Id="rId435" Type="http://schemas.openxmlformats.org/officeDocument/2006/relationships/hyperlink" Target="https://www.linkedin.com/in/adrian-neo-649b1683/" TargetMode="External"/><Relationship Id="rId642" Type="http://schemas.openxmlformats.org/officeDocument/2006/relationships/hyperlink" Target="https://mybump.my/" TargetMode="External"/><Relationship Id="rId1065" Type="http://schemas.openxmlformats.org/officeDocument/2006/relationships/hyperlink" Target="mailto:Dzw@heli-cap.com" TargetMode="External"/><Relationship Id="rId1272" Type="http://schemas.openxmlformats.org/officeDocument/2006/relationships/hyperlink" Target="https://www.verlocal.com/" TargetMode="External"/><Relationship Id="rId502" Type="http://schemas.openxmlformats.org/officeDocument/2006/relationships/hyperlink" Target="https://www.techinasia.com/jobs/1d7df80d-7c1b-4407-8120-0c83fc014baa" TargetMode="External"/><Relationship Id="rId947" Type="http://schemas.openxmlformats.org/officeDocument/2006/relationships/hyperlink" Target="mailto:Nikolay@consult.law" TargetMode="External"/><Relationship Id="rId1132" Type="http://schemas.openxmlformats.org/officeDocument/2006/relationships/hyperlink" Target="mailto:Miguel.Enes@imotorbike.my" TargetMode="External"/><Relationship Id="rId76" Type="http://schemas.openxmlformats.org/officeDocument/2006/relationships/hyperlink" Target="https://www.linkedin.com/in/marcobahn/" TargetMode="External"/><Relationship Id="rId807" Type="http://schemas.openxmlformats.org/officeDocument/2006/relationships/hyperlink" Target="mailto:Shama@jetzyapp.com%20/" TargetMode="External"/><Relationship Id="rId292" Type="http://schemas.openxmlformats.org/officeDocument/2006/relationships/hyperlink" Target="mailto:info@novalu.me" TargetMode="External"/><Relationship Id="rId597" Type="http://schemas.openxmlformats.org/officeDocument/2006/relationships/hyperlink" Target="https://althr.co/" TargetMode="External"/><Relationship Id="rId152" Type="http://schemas.openxmlformats.org/officeDocument/2006/relationships/hyperlink" Target="https://omnilytics.co/" TargetMode="External"/><Relationship Id="rId457" Type="http://schemas.openxmlformats.org/officeDocument/2006/relationships/hyperlink" Target="https://www.alphien.com/" TargetMode="External"/><Relationship Id="rId1087" Type="http://schemas.openxmlformats.org/officeDocument/2006/relationships/hyperlink" Target="https://www.f6s.com/jobs/37782/dotgis/desarrollador-a-frontend" TargetMode="External"/><Relationship Id="rId1294" Type="http://schemas.openxmlformats.org/officeDocument/2006/relationships/hyperlink" Target="mailto:pulkit@invygo.com" TargetMode="External"/><Relationship Id="rId664" Type="http://schemas.openxmlformats.org/officeDocument/2006/relationships/hyperlink" Target="mailto:jonathan@zeguestlist.com" TargetMode="External"/><Relationship Id="rId871" Type="http://schemas.openxmlformats.org/officeDocument/2006/relationships/hyperlink" Target="https://www.f6s.com/jobs/37593/ilao/developer" TargetMode="External"/><Relationship Id="rId969" Type="http://schemas.openxmlformats.org/officeDocument/2006/relationships/hyperlink" Target="https://www.linkedin.com/company/airplay-tv-ltd/" TargetMode="External"/><Relationship Id="rId317" Type="http://schemas.openxmlformats.org/officeDocument/2006/relationships/hyperlink" Target="http://qritive.com/" TargetMode="External"/><Relationship Id="rId524" Type="http://schemas.openxmlformats.org/officeDocument/2006/relationships/hyperlink" Target="https://angel.co/calt-dynamics" TargetMode="External"/><Relationship Id="rId731" Type="http://schemas.openxmlformats.org/officeDocument/2006/relationships/hyperlink" Target="https://www.linkedin.com/company/so-bus/" TargetMode="External"/><Relationship Id="rId1154" Type="http://schemas.openxmlformats.org/officeDocument/2006/relationships/hyperlink" Target="mailto:contact@ultra-iot.com" TargetMode="External"/><Relationship Id="rId1361" Type="http://schemas.openxmlformats.org/officeDocument/2006/relationships/hyperlink" Target="mailto:Carrie@littlenuggetco.com" TargetMode="External"/><Relationship Id="rId98" Type="http://schemas.openxmlformats.org/officeDocument/2006/relationships/hyperlink" Target="https://yedpay.com/" TargetMode="External"/><Relationship Id="rId829" Type="http://schemas.openxmlformats.org/officeDocument/2006/relationships/hyperlink" Target="mailto:info@mybitwallet.com" TargetMode="External"/><Relationship Id="rId1014" Type="http://schemas.openxmlformats.org/officeDocument/2006/relationships/hyperlink" Target="mailto:Sebastian.Scheler@innerspace.at" TargetMode="External"/><Relationship Id="rId1221" Type="http://schemas.openxmlformats.org/officeDocument/2006/relationships/hyperlink" Target="mailto:BDavidoff@clutchetech.com" TargetMode="External"/><Relationship Id="rId1319" Type="http://schemas.openxmlformats.org/officeDocument/2006/relationships/hyperlink" Target="https://workinstartups.com/job-board/job/73478/full-stack-back-end-developer-distributed-systems-at-predina-limited/" TargetMode="External"/><Relationship Id="rId25" Type="http://schemas.openxmlformats.org/officeDocument/2006/relationships/hyperlink" Target="mailto:cjaebbers@gmail.com" TargetMode="External"/><Relationship Id="rId174" Type="http://schemas.openxmlformats.org/officeDocument/2006/relationships/hyperlink" Target="https://www.linkedin.com/company/utrum/" TargetMode="External"/><Relationship Id="rId381" Type="http://schemas.openxmlformats.org/officeDocument/2006/relationships/hyperlink" Target="https://www.linkedin.com/company/keyp-gmbh/" TargetMode="External"/><Relationship Id="rId241" Type="http://schemas.openxmlformats.org/officeDocument/2006/relationships/hyperlink" Target="https://www.techinasia.com/jobs/e622953e-7042-42e9-91a4-b96c725b9e86" TargetMode="External"/><Relationship Id="rId479" Type="http://schemas.openxmlformats.org/officeDocument/2006/relationships/hyperlink" Target="mailto:info@letmeparkparking.es" TargetMode="External"/><Relationship Id="rId686" Type="http://schemas.openxmlformats.org/officeDocument/2006/relationships/hyperlink" Target="mailto:hello@getmoona.com" TargetMode="External"/><Relationship Id="rId893" Type="http://schemas.openxmlformats.org/officeDocument/2006/relationships/hyperlink" Target="mailto:Stefano@gilytics.com" TargetMode="External"/><Relationship Id="rId339" Type="http://schemas.openxmlformats.org/officeDocument/2006/relationships/hyperlink" Target="https://www.techinasia.com/jobs/61b772fc-4293-4763-8f58-77922036d2dd" TargetMode="External"/><Relationship Id="rId546" Type="http://schemas.openxmlformats.org/officeDocument/2006/relationships/hyperlink" Target="http://startupjobs.asia/job/38921-web-developer-it-loca-asia-sdn-bhd-malaysia" TargetMode="External"/><Relationship Id="rId753" Type="http://schemas.openxmlformats.org/officeDocument/2006/relationships/hyperlink" Target="mailto:nick@asiamx.com" TargetMode="External"/><Relationship Id="rId1176" Type="http://schemas.openxmlformats.org/officeDocument/2006/relationships/hyperlink" Target="https://webpunch12.com/" TargetMode="External"/><Relationship Id="rId1383" Type="http://schemas.openxmlformats.org/officeDocument/2006/relationships/hyperlink" Target="https://www.linkedin.com/company/migacore/" TargetMode="External"/><Relationship Id="rId101" Type="http://schemas.openxmlformats.org/officeDocument/2006/relationships/hyperlink" Target="mailto:hi@bescene.sg" TargetMode="External"/><Relationship Id="rId406" Type="http://schemas.openxmlformats.org/officeDocument/2006/relationships/hyperlink" Target="mailto:Corvin.Porten@nevaal.com" TargetMode="External"/><Relationship Id="rId960" Type="http://schemas.openxmlformats.org/officeDocument/2006/relationships/hyperlink" Target="mailto:contact@vingineers.com" TargetMode="External"/><Relationship Id="rId1036" Type="http://schemas.openxmlformats.org/officeDocument/2006/relationships/hyperlink" Target="http://wecudos.com/" TargetMode="External"/><Relationship Id="rId1243" Type="http://schemas.openxmlformats.org/officeDocument/2006/relationships/hyperlink" Target="mailto:nick@n-interactive.com" TargetMode="External"/><Relationship Id="rId613" Type="http://schemas.openxmlformats.org/officeDocument/2006/relationships/hyperlink" Target="mailto:kane.wu@thinkcol.com" TargetMode="External"/><Relationship Id="rId820" Type="http://schemas.openxmlformats.org/officeDocument/2006/relationships/hyperlink" Target="https://www.techinasia.com/jobs/0f83b258-9a45-461f-9a44-4e488b0297ff" TargetMode="External"/><Relationship Id="rId918" Type="http://schemas.openxmlformats.org/officeDocument/2006/relationships/hyperlink" Target="https://www.f6s.com/jobs/37457/voomenu/junior-front-end-web-developer" TargetMode="External"/><Relationship Id="rId1103" Type="http://schemas.openxmlformats.org/officeDocument/2006/relationships/hyperlink" Target="https://www.vrcalm.co.uk/" TargetMode="External"/><Relationship Id="rId1310" Type="http://schemas.openxmlformats.org/officeDocument/2006/relationships/hyperlink" Target="https://www.linkedin.com/company/core-blue-ltd/" TargetMode="External"/><Relationship Id="rId1408" Type="http://schemas.openxmlformats.org/officeDocument/2006/relationships/hyperlink" Target="https://www.linkedin.com/company/tamoco-the-tag-mobile-company/" TargetMode="External"/><Relationship Id="rId47" Type="http://schemas.openxmlformats.org/officeDocument/2006/relationships/hyperlink" Target="mailto:Daniel.Dawczynski@coinected.io" TargetMode="External"/><Relationship Id="rId196" Type="http://schemas.openxmlformats.org/officeDocument/2006/relationships/hyperlink" Target="mailto:Ria@groupstar.io" TargetMode="External"/><Relationship Id="rId263" Type="http://schemas.openxmlformats.org/officeDocument/2006/relationships/hyperlink" Target="http://www.parkware.eu/" TargetMode="External"/><Relationship Id="rId470" Type="http://schemas.openxmlformats.org/officeDocument/2006/relationships/hyperlink" Target="https://wantthingsdone.com/" TargetMode="External"/><Relationship Id="rId123" Type="http://schemas.openxmlformats.org/officeDocument/2006/relationships/hyperlink" Target="https://www.linkedin.com/in/bertram-wildenauer-03759293/" TargetMode="External"/><Relationship Id="rId330" Type="http://schemas.openxmlformats.org/officeDocument/2006/relationships/hyperlink" Target="https://www.linkedin.com/company/ludic-games/" TargetMode="External"/><Relationship Id="rId568" Type="http://schemas.openxmlformats.org/officeDocument/2006/relationships/hyperlink" Target="https://www.linkedin.com/in/nickolasheyze-profile/" TargetMode="External"/><Relationship Id="rId775" Type="http://schemas.openxmlformats.org/officeDocument/2006/relationships/hyperlink" Target="mailto:info@monkee.rocks" TargetMode="External"/><Relationship Id="rId982" Type="http://schemas.openxmlformats.org/officeDocument/2006/relationships/hyperlink" Target="mailto:V.Benoit@avenue8.ca" TargetMode="External"/><Relationship Id="rId1198" Type="http://schemas.openxmlformats.org/officeDocument/2006/relationships/hyperlink" Target="mailto:info@hitchbird.com" TargetMode="External"/><Relationship Id="rId428" Type="http://schemas.openxmlformats.org/officeDocument/2006/relationships/hyperlink" Target="mailto:Remi.Kanji@platomedical.com" TargetMode="External"/><Relationship Id="rId635" Type="http://schemas.openxmlformats.org/officeDocument/2006/relationships/hyperlink" Target="mailto:hello@accela.asia" TargetMode="External"/><Relationship Id="rId842" Type="http://schemas.openxmlformats.org/officeDocument/2006/relationships/hyperlink" Target="https://www.rendermusic.io/" TargetMode="External"/><Relationship Id="rId1058" Type="http://schemas.openxmlformats.org/officeDocument/2006/relationships/hyperlink" Target="https://www.linkedin.com/company/hapz/" TargetMode="External"/><Relationship Id="rId1265" Type="http://schemas.openxmlformats.org/officeDocument/2006/relationships/hyperlink" Target="https://www.therapy-box.co.uk/" TargetMode="External"/><Relationship Id="rId702" Type="http://schemas.openxmlformats.org/officeDocument/2006/relationships/hyperlink" Target="mailto:transpoolerapp@gmail.com" TargetMode="External"/><Relationship Id="rId1125" Type="http://schemas.openxmlformats.org/officeDocument/2006/relationships/hyperlink" Target="http://www.livelovekoi.com/" TargetMode="External"/><Relationship Id="rId1332" Type="http://schemas.openxmlformats.org/officeDocument/2006/relationships/hyperlink" Target="https://www.f6s.com/jobs/38530/forwardclinical/ux-ui-developer" TargetMode="External"/><Relationship Id="rId69" Type="http://schemas.openxmlformats.org/officeDocument/2006/relationships/hyperlink" Target="https://www.weworkmeteor.com/jobs/MpX6eZokKiui5B5ir/love-typescript-angular-both-we-re-looking-for-you" TargetMode="External"/><Relationship Id="rId285" Type="http://schemas.openxmlformats.org/officeDocument/2006/relationships/hyperlink" Target="mailto:Segev@ppcprotect.com" TargetMode="External"/><Relationship Id="rId492" Type="http://schemas.openxmlformats.org/officeDocument/2006/relationships/hyperlink" Target="https://www.linkedin.com/in/pradeepdotco/" TargetMode="External"/><Relationship Id="rId797" Type="http://schemas.openxmlformats.org/officeDocument/2006/relationships/hyperlink" Target="mailto:Ken@tenderboard.biz" TargetMode="External"/><Relationship Id="rId145" Type="http://schemas.openxmlformats.org/officeDocument/2006/relationships/hyperlink" Target="http://startupjobs.asia/job/38497-web-mobile-developer-trainee-it-werebits-malaysia" TargetMode="External"/><Relationship Id="rId352" Type="http://schemas.openxmlformats.org/officeDocument/2006/relationships/hyperlink" Target="https://www.linkedin.com/in/heba-jaraysi-26aa3024/" TargetMode="External"/><Relationship Id="rId1287" Type="http://schemas.openxmlformats.org/officeDocument/2006/relationships/hyperlink" Target="https://www.linkedin.com/company/pionr/" TargetMode="External"/><Relationship Id="rId212" Type="http://schemas.openxmlformats.org/officeDocument/2006/relationships/hyperlink" Target="https://www.linkedin.com/company/tetrium/" TargetMode="External"/><Relationship Id="rId657" Type="http://schemas.openxmlformats.org/officeDocument/2006/relationships/hyperlink" Target="https://www.oceannexus.my/en/" TargetMode="External"/><Relationship Id="rId864" Type="http://schemas.openxmlformats.org/officeDocument/2006/relationships/hyperlink" Target="mailto:Ricardo@bellamaterna.com.br" TargetMode="External"/><Relationship Id="rId517" Type="http://schemas.openxmlformats.org/officeDocument/2006/relationships/hyperlink" Target="https://angel.co/parade-3/jobs/380911-senior-developer" TargetMode="External"/><Relationship Id="rId724" Type="http://schemas.openxmlformats.org/officeDocument/2006/relationships/hyperlink" Target="https://www.f6s.com/jobs/37161/stonefriarcapitallimited/cto" TargetMode="External"/><Relationship Id="rId931" Type="http://schemas.openxmlformats.org/officeDocument/2006/relationships/hyperlink" Target="https://www.f6s.com/jobs/37429/tazesef/senior-php-developer" TargetMode="External"/><Relationship Id="rId1147" Type="http://schemas.openxmlformats.org/officeDocument/2006/relationships/hyperlink" Target="https://www.f6s.com/jobs/38402/quanteriumtech/software-engineer" TargetMode="External"/><Relationship Id="rId1354" Type="http://schemas.openxmlformats.org/officeDocument/2006/relationships/hyperlink" Target="https://workinstartups.com/job-board/job/73460/senior-software-engineer-at-prime-factor-capital/" TargetMode="External"/><Relationship Id="rId60" Type="http://schemas.openxmlformats.org/officeDocument/2006/relationships/hyperlink" Target="https://www.linkedin.com/company/alemhealthltd/" TargetMode="External"/><Relationship Id="rId1007" Type="http://schemas.openxmlformats.org/officeDocument/2006/relationships/hyperlink" Target="https://www.gabbi.ai/" TargetMode="External"/><Relationship Id="rId1214" Type="http://schemas.openxmlformats.org/officeDocument/2006/relationships/hyperlink" Target="https://www.linkedin.com/company/upstack-studio/" TargetMode="External"/><Relationship Id="rId18" Type="http://schemas.openxmlformats.org/officeDocument/2006/relationships/hyperlink" Target="mailto:catseow1995@gmail.com" TargetMode="External"/><Relationship Id="rId167" Type="http://schemas.openxmlformats.org/officeDocument/2006/relationships/hyperlink" Target="https://www.fidentiax.com/" TargetMode="External"/><Relationship Id="rId374" Type="http://schemas.openxmlformats.org/officeDocument/2006/relationships/hyperlink" Target="mailto:info@hireflows.com" TargetMode="External"/><Relationship Id="rId581" Type="http://schemas.openxmlformats.org/officeDocument/2006/relationships/hyperlink" Target="https://angel.co/sopinet-1" TargetMode="External"/><Relationship Id="rId234" Type="http://schemas.openxmlformats.org/officeDocument/2006/relationships/hyperlink" Target="mailto:akio.Kurata@equity-x.com" TargetMode="External"/><Relationship Id="rId679" Type="http://schemas.openxmlformats.org/officeDocument/2006/relationships/hyperlink" Target="https://www.linkedin.com/in/alexandru-okros-58976212b/" TargetMode="External"/><Relationship Id="rId886" Type="http://schemas.openxmlformats.org/officeDocument/2006/relationships/hyperlink" Target="https://www.aptap.co.uk/" TargetMode="External"/><Relationship Id="rId2" Type="http://schemas.openxmlformats.org/officeDocument/2006/relationships/hyperlink" Target="https://e27.co/startup/the-new-malaya" TargetMode="External"/><Relationship Id="rId441" Type="http://schemas.openxmlformats.org/officeDocument/2006/relationships/hyperlink" Target="https://www.fomopay.com/" TargetMode="External"/><Relationship Id="rId539" Type="http://schemas.openxmlformats.org/officeDocument/2006/relationships/hyperlink" Target="https://buildpathcript.wordpress.com/" TargetMode="External"/><Relationship Id="rId746" Type="http://schemas.openxmlformats.org/officeDocument/2006/relationships/hyperlink" Target="http://popa.hk/" TargetMode="External"/><Relationship Id="rId1071" Type="http://schemas.openxmlformats.org/officeDocument/2006/relationships/hyperlink" Target="https://www.f6s.com/jobs/37806/contaxer/php-developer" TargetMode="External"/><Relationship Id="rId1169" Type="http://schemas.openxmlformats.org/officeDocument/2006/relationships/hyperlink" Target="https://www.flowpress.com/" TargetMode="External"/><Relationship Id="rId1376" Type="http://schemas.openxmlformats.org/officeDocument/2006/relationships/hyperlink" Target="mailto:Divia@verv.energy" TargetMode="External"/><Relationship Id="rId301" Type="http://schemas.openxmlformats.org/officeDocument/2006/relationships/hyperlink" Target="https://thedealerapp.co.uk/" TargetMode="External"/><Relationship Id="rId953" Type="http://schemas.openxmlformats.org/officeDocument/2006/relationships/hyperlink" Target="https://angel.co/shiroi-boushi/jobs/406975-front-end-developer" TargetMode="External"/><Relationship Id="rId1029" Type="http://schemas.openxmlformats.org/officeDocument/2006/relationships/hyperlink" Target="mailto:contact@crowdmap.io" TargetMode="External"/><Relationship Id="rId1236" Type="http://schemas.openxmlformats.org/officeDocument/2006/relationships/hyperlink" Target="https://workinstartups.com/job-board/job/73712/ios-developer-at-aio-fitness-uk-ltd/" TargetMode="External"/><Relationship Id="rId82" Type="http://schemas.openxmlformats.org/officeDocument/2006/relationships/hyperlink" Target="https://emagin.ca/" TargetMode="External"/><Relationship Id="rId606" Type="http://schemas.openxmlformats.org/officeDocument/2006/relationships/hyperlink" Target="mailto:mendes.ribeiros@gmail.com" TargetMode="External"/><Relationship Id="rId813" Type="http://schemas.openxmlformats.org/officeDocument/2006/relationships/hyperlink" Target="mailto:Faizola@datavis.sg" TargetMode="External"/><Relationship Id="rId1303" Type="http://schemas.openxmlformats.org/officeDocument/2006/relationships/hyperlink" Target="https://gettrik.com/" TargetMode="External"/><Relationship Id="rId189" Type="http://schemas.openxmlformats.org/officeDocument/2006/relationships/hyperlink" Target="https://auk.industries/" TargetMode="External"/><Relationship Id="rId396" Type="http://schemas.openxmlformats.org/officeDocument/2006/relationships/hyperlink" Target="https://www.linkedin.com/company/futways/" TargetMode="External"/><Relationship Id="rId256" Type="http://schemas.openxmlformats.org/officeDocument/2006/relationships/hyperlink" Target="https://www.traveltimeplatform.com/" TargetMode="External"/><Relationship Id="rId463" Type="http://schemas.openxmlformats.org/officeDocument/2006/relationships/hyperlink" Target="https://www.fourelementscapital.com/" TargetMode="External"/><Relationship Id="rId670" Type="http://schemas.openxmlformats.org/officeDocument/2006/relationships/hyperlink" Target="https://www.linkedin.com/company/carmenautomotivepl/" TargetMode="External"/><Relationship Id="rId1093" Type="http://schemas.openxmlformats.org/officeDocument/2006/relationships/hyperlink" Target="https://www.linkedin.com/company/quaira/" TargetMode="External"/><Relationship Id="rId116" Type="http://schemas.openxmlformats.org/officeDocument/2006/relationships/hyperlink" Target="https://www.linkedin.com/company/mentorica-technology/?originalSubdomain=in" TargetMode="External"/><Relationship Id="rId323" Type="http://schemas.openxmlformats.org/officeDocument/2006/relationships/hyperlink" Target="mailto:andrewr@cladnetwork.com" TargetMode="External"/><Relationship Id="rId530" Type="http://schemas.openxmlformats.org/officeDocument/2006/relationships/hyperlink" Target="mailto:Jay.Keshur@appvia.io" TargetMode="External"/><Relationship Id="rId768" Type="http://schemas.openxmlformats.org/officeDocument/2006/relationships/hyperlink" Target="https://www.f6s.com/jobs/37339/noow.world/cto-co-founder" TargetMode="External"/><Relationship Id="rId975" Type="http://schemas.openxmlformats.org/officeDocument/2006/relationships/hyperlink" Target="mailto:Olga@memento.media" TargetMode="External"/><Relationship Id="rId1160" Type="http://schemas.openxmlformats.org/officeDocument/2006/relationships/hyperlink" Target="mailto:Sam@sitemate.com" TargetMode="External"/><Relationship Id="rId1398" Type="http://schemas.openxmlformats.org/officeDocument/2006/relationships/hyperlink" Target="https://www.linkedin.com/in/henrykong97/" TargetMode="External"/><Relationship Id="rId628" Type="http://schemas.openxmlformats.org/officeDocument/2006/relationships/hyperlink" Target="http://startupjobs.asia/job/37845-ui-ux-designer-ui-ux-eunoia-pte-ltd-singapore" TargetMode="External"/><Relationship Id="rId835" Type="http://schemas.openxmlformats.org/officeDocument/2006/relationships/hyperlink" Target="https://www.f6s.com/jobs/37634/spreadsheep/cto-team-builder-and-expert-in-cqrs" TargetMode="External"/><Relationship Id="rId1258" Type="http://schemas.openxmlformats.org/officeDocument/2006/relationships/hyperlink" Target="mailto:george@migacore.com" TargetMode="External"/><Relationship Id="rId1020" Type="http://schemas.openxmlformats.org/officeDocument/2006/relationships/hyperlink" Target="mailto:Peter.Timson@subsec.ai" TargetMode="External"/><Relationship Id="rId1118" Type="http://schemas.openxmlformats.org/officeDocument/2006/relationships/hyperlink" Target="mailto:Brittany@bright-angle.com" TargetMode="External"/><Relationship Id="rId1325" Type="http://schemas.openxmlformats.org/officeDocument/2006/relationships/hyperlink" Target="http://startupjobs.asia/job/40857-application-developer-support-consultant-full-stack-developer-aquila-logic-pte-ltd-singapore" TargetMode="External"/><Relationship Id="rId902" Type="http://schemas.openxmlformats.org/officeDocument/2006/relationships/hyperlink" Target="http://tg0.co.uk/" TargetMode="External"/><Relationship Id="rId31" Type="http://schemas.openxmlformats.org/officeDocument/2006/relationships/hyperlink" Target="http://snapscene.sg/" TargetMode="External"/><Relationship Id="rId180" Type="http://schemas.openxmlformats.org/officeDocument/2006/relationships/hyperlink" Target="mailto:davejameswalsh@hotmail.com" TargetMode="External"/><Relationship Id="rId278" Type="http://schemas.openxmlformats.org/officeDocument/2006/relationships/hyperlink" Target="https://www.linkedin.com/company/kopernio/" TargetMode="External"/><Relationship Id="rId485" Type="http://schemas.openxmlformats.org/officeDocument/2006/relationships/hyperlink" Target="http://www.castella.art/" TargetMode="External"/><Relationship Id="rId692" Type="http://schemas.openxmlformats.org/officeDocument/2006/relationships/hyperlink" Target="mailto:info@weedea.com" TargetMode="External"/><Relationship Id="rId138" Type="http://schemas.openxmlformats.org/officeDocument/2006/relationships/hyperlink" Target="http://startupjobs.asia/job/38529-fullstack-engineer-fullstack-engineer-intern-full-stack-developer-vase-ai-malaysia" TargetMode="External"/><Relationship Id="rId345" Type="http://schemas.openxmlformats.org/officeDocument/2006/relationships/hyperlink" Target="mailto:help@gowild.sg" TargetMode="External"/><Relationship Id="rId552" Type="http://schemas.openxmlformats.org/officeDocument/2006/relationships/hyperlink" Target="mailto:hello@cudy.co" TargetMode="External"/><Relationship Id="rId997" Type="http://schemas.openxmlformats.org/officeDocument/2006/relationships/hyperlink" Target="mailto:Marcelisakowitz@aol.com" TargetMode="External"/><Relationship Id="rId1182" Type="http://schemas.openxmlformats.org/officeDocument/2006/relationships/hyperlink" Target="mailto:Emily.Moss@altanddot.com" TargetMode="External"/><Relationship Id="rId205" Type="http://schemas.openxmlformats.org/officeDocument/2006/relationships/hyperlink" Target="https://www.linkedin.com/in/odedlevanon/" TargetMode="External"/><Relationship Id="rId412" Type="http://schemas.openxmlformats.org/officeDocument/2006/relationships/hyperlink" Target="http://www.dextcloud.com/" TargetMode="External"/><Relationship Id="rId857" Type="http://schemas.openxmlformats.org/officeDocument/2006/relationships/hyperlink" Target="https://www.f6s.com/jobs/37638/doorsvision/developer" TargetMode="External"/><Relationship Id="rId1042" Type="http://schemas.openxmlformats.org/officeDocument/2006/relationships/hyperlink" Target="https://www.beez.world/" TargetMode="External"/><Relationship Id="rId717" Type="http://schemas.openxmlformats.org/officeDocument/2006/relationships/hyperlink" Target="mailto:info@issme.ca" TargetMode="External"/><Relationship Id="rId924" Type="http://schemas.openxmlformats.org/officeDocument/2006/relationships/hyperlink" Target="http://seekadegree.com/" TargetMode="External"/><Relationship Id="rId1347" Type="http://schemas.openxmlformats.org/officeDocument/2006/relationships/hyperlink" Target="mailto:Claudio@verado.com" TargetMode="External"/><Relationship Id="rId53" Type="http://schemas.openxmlformats.org/officeDocument/2006/relationships/hyperlink" Target="https://www.lumiere32.sg/" TargetMode="External"/><Relationship Id="rId1207" Type="http://schemas.openxmlformats.org/officeDocument/2006/relationships/hyperlink" Target="https://www.linkedin.com/company/ctrlworks/" TargetMode="External"/><Relationship Id="rId367" Type="http://schemas.openxmlformats.org/officeDocument/2006/relationships/hyperlink" Target="https://www.linkedin.com/company/roommateapp/" TargetMode="External"/><Relationship Id="rId574" Type="http://schemas.openxmlformats.org/officeDocument/2006/relationships/hyperlink" Target="mailto:Max@elementus.io" TargetMode="External"/><Relationship Id="rId227" Type="http://schemas.openxmlformats.org/officeDocument/2006/relationships/hyperlink" Target="https://www.codigeeks.com/" TargetMode="External"/><Relationship Id="rId781" Type="http://schemas.openxmlformats.org/officeDocument/2006/relationships/hyperlink" Target="http://vixtape.tv/" TargetMode="External"/><Relationship Id="rId879" Type="http://schemas.openxmlformats.org/officeDocument/2006/relationships/hyperlink" Target="https://www.linkedin.com/company/onefid/" TargetMode="External"/><Relationship Id="rId434" Type="http://schemas.openxmlformats.org/officeDocument/2006/relationships/hyperlink" Target="https://www.contactsdaily.com/" TargetMode="External"/><Relationship Id="rId641" Type="http://schemas.openxmlformats.org/officeDocument/2006/relationships/hyperlink" Target="mailto:Karam@mybump.my" TargetMode="External"/><Relationship Id="rId739" Type="http://schemas.openxmlformats.org/officeDocument/2006/relationships/hyperlink" Target="https://www.linkedin.com/company/bloomthis/" TargetMode="External"/><Relationship Id="rId1064" Type="http://schemas.openxmlformats.org/officeDocument/2006/relationships/hyperlink" Target="mailto:info@heli-cap.com" TargetMode="External"/><Relationship Id="rId1271" Type="http://schemas.openxmlformats.org/officeDocument/2006/relationships/hyperlink" Target="https://www.techinasia.com/jobs/2a40d5e8-f379-4494-aa2a-30b32335c0a0" TargetMode="External"/><Relationship Id="rId1369" Type="http://schemas.openxmlformats.org/officeDocument/2006/relationships/hyperlink" Target="https://www.f6s.com/jobs/38531/botztore/desenvolvedor-javascript" TargetMode="External"/><Relationship Id="rId501" Type="http://schemas.openxmlformats.org/officeDocument/2006/relationships/hyperlink" Target="https://www.linkedin.com/company/teebtv/" TargetMode="External"/><Relationship Id="rId946" Type="http://schemas.openxmlformats.org/officeDocument/2006/relationships/hyperlink" Target="https://www.f6s.com/jobs/37381/thejuristcompany/cto" TargetMode="External"/><Relationship Id="rId1131" Type="http://schemas.openxmlformats.org/officeDocument/2006/relationships/hyperlink" Target="http://avnt.space/" TargetMode="External"/><Relationship Id="rId1229" Type="http://schemas.openxmlformats.org/officeDocument/2006/relationships/hyperlink" Target="https://www.twigdoo.com/" TargetMode="External"/><Relationship Id="rId75" Type="http://schemas.openxmlformats.org/officeDocument/2006/relationships/hyperlink" Target="https://www.f6s.com/jobs/35916/v4ul7.io/dapp-smart-contract-wasm-developer" TargetMode="External"/><Relationship Id="rId806" Type="http://schemas.openxmlformats.org/officeDocument/2006/relationships/hyperlink" Target="https://www.jetzyapp.com/" TargetMode="External"/><Relationship Id="rId291" Type="http://schemas.openxmlformats.org/officeDocument/2006/relationships/hyperlink" Target="mailto:tm@novalu.me" TargetMode="External"/><Relationship Id="rId151" Type="http://schemas.openxmlformats.org/officeDocument/2006/relationships/hyperlink" Target="http://startupjobs.asia/job/38558-front-end-engineer-it-omnilytics-malaysia" TargetMode="External"/><Relationship Id="rId389" Type="http://schemas.openxmlformats.org/officeDocument/2006/relationships/hyperlink" Target="https://www.linkedin.com/company/fledglink/" TargetMode="External"/><Relationship Id="rId596" Type="http://schemas.openxmlformats.org/officeDocument/2006/relationships/hyperlink" Target="mailto:support@alt.hr" TargetMode="External"/><Relationship Id="rId249" Type="http://schemas.openxmlformats.org/officeDocument/2006/relationships/hyperlink" Target="mailto:chris@immevr.com" TargetMode="External"/><Relationship Id="rId456" Type="http://schemas.openxmlformats.org/officeDocument/2006/relationships/hyperlink" Target="https://www.techinasia.com/jobs/52cf73a2-810b-4772-a024-716247bd483b" TargetMode="External"/><Relationship Id="rId663" Type="http://schemas.openxmlformats.org/officeDocument/2006/relationships/hyperlink" Target="https://ww1.zeguestlist.com/" TargetMode="External"/><Relationship Id="rId870" Type="http://schemas.openxmlformats.org/officeDocument/2006/relationships/hyperlink" Target="https://www.linkedin.com/company/ilao/" TargetMode="External"/><Relationship Id="rId1086" Type="http://schemas.openxmlformats.org/officeDocument/2006/relationships/hyperlink" Target="mailto:MFernandeza@dotgiscorp.com" TargetMode="External"/><Relationship Id="rId1293" Type="http://schemas.openxmlformats.org/officeDocument/2006/relationships/hyperlink" Target="https://invygo.com/" TargetMode="External"/><Relationship Id="rId109" Type="http://schemas.openxmlformats.org/officeDocument/2006/relationships/hyperlink" Target="https://www.linkedin.com/in/michael-choy-004ab675/" TargetMode="External"/><Relationship Id="rId316" Type="http://schemas.openxmlformats.org/officeDocument/2006/relationships/hyperlink" Target="https://www.f6s.com/jobs/36239/qritive/computer-vision-intern" TargetMode="External"/><Relationship Id="rId523" Type="http://schemas.openxmlformats.org/officeDocument/2006/relationships/hyperlink" Target="https://www.linkedin.com/company/calt-dynamics/" TargetMode="External"/><Relationship Id="rId968" Type="http://schemas.openxmlformats.org/officeDocument/2006/relationships/hyperlink" Target="https://airplaytv.com/" TargetMode="External"/><Relationship Id="rId1153" Type="http://schemas.openxmlformats.org/officeDocument/2006/relationships/hyperlink" Target="mailto:antoine.zenie@ultra-iot.com" TargetMode="External"/><Relationship Id="rId97" Type="http://schemas.openxmlformats.org/officeDocument/2006/relationships/hyperlink" Target="https://www.linkedin.com/company/yedpay-limited/" TargetMode="External"/><Relationship Id="rId730" Type="http://schemas.openxmlformats.org/officeDocument/2006/relationships/hyperlink" Target="mailto:Matthieu.Marquenet@sobus.fr" TargetMode="External"/><Relationship Id="rId828" Type="http://schemas.openxmlformats.org/officeDocument/2006/relationships/hyperlink" Target="https://www.vibease.com/" TargetMode="External"/><Relationship Id="rId1013" Type="http://schemas.openxmlformats.org/officeDocument/2006/relationships/hyperlink" Target="https://www.innerspace.at/" TargetMode="External"/><Relationship Id="rId1360" Type="http://schemas.openxmlformats.org/officeDocument/2006/relationships/hyperlink" Target="http://littlenuggetco.com/" TargetMode="External"/><Relationship Id="rId1220" Type="http://schemas.openxmlformats.org/officeDocument/2006/relationships/hyperlink" Target="http://www.mobileone.com.my/" TargetMode="External"/><Relationship Id="rId1318" Type="http://schemas.openxmlformats.org/officeDocument/2006/relationships/hyperlink" Target="http://www.predina.com/" TargetMode="External"/><Relationship Id="rId24" Type="http://schemas.openxmlformats.org/officeDocument/2006/relationships/hyperlink" Target="https://www.linkedin.com/in/casebbers?lipi=urn%3Ali%3Apage%3Ad_flagship3_profile_view_base%3BeKZIbFEZTUG%2F49LZ333c4Q%3D%3D" TargetMode="External"/><Relationship Id="rId173" Type="http://schemas.openxmlformats.org/officeDocument/2006/relationships/hyperlink" Target="https://www.techinasia.com/jobs/7258757f-705b-416c-9115-92d4d3dd10a3" TargetMode="External"/><Relationship Id="rId380" Type="http://schemas.openxmlformats.org/officeDocument/2006/relationships/hyperlink" Target="https://keyp.io/" TargetMode="External"/><Relationship Id="rId240" Type="http://schemas.openxmlformats.org/officeDocument/2006/relationships/hyperlink" Target="https://www.linkedin.com/company/spot-works/" TargetMode="External"/><Relationship Id="rId478" Type="http://schemas.openxmlformats.org/officeDocument/2006/relationships/hyperlink" Target="https://www.linkedin.com/in/alexanderulander/" TargetMode="External"/><Relationship Id="rId685" Type="http://schemas.openxmlformats.org/officeDocument/2006/relationships/hyperlink" Target="https://www.f6s.com/jobs/37310/trueai/frontend-developer-and-designer" TargetMode="External"/><Relationship Id="rId892" Type="http://schemas.openxmlformats.org/officeDocument/2006/relationships/hyperlink" Target="https://www.f6s.com/jobs/37553/gilytics/software-engineer-cto" TargetMode="External"/><Relationship Id="rId100" Type="http://schemas.openxmlformats.org/officeDocument/2006/relationships/hyperlink" Target="mailto:info@gcash.co" TargetMode="External"/><Relationship Id="rId338" Type="http://schemas.openxmlformats.org/officeDocument/2006/relationships/hyperlink" Target="https://www.linkedin.com/company/lomotif/" TargetMode="External"/><Relationship Id="rId545" Type="http://schemas.openxmlformats.org/officeDocument/2006/relationships/hyperlink" Target="https://www.linkedin.com/in/vjong-cheang-4b149284/" TargetMode="External"/><Relationship Id="rId752" Type="http://schemas.openxmlformats.org/officeDocument/2006/relationships/hyperlink" Target="https://www.asiamx.com/" TargetMode="External"/><Relationship Id="rId1175" Type="http://schemas.openxmlformats.org/officeDocument/2006/relationships/hyperlink" Target="https://medmain.net/" TargetMode="External"/><Relationship Id="rId1382" Type="http://schemas.openxmlformats.org/officeDocument/2006/relationships/hyperlink" Target="https://www.linkedin.com/company/chronomics/" TargetMode="External"/><Relationship Id="rId405" Type="http://schemas.openxmlformats.org/officeDocument/2006/relationships/hyperlink" Target="https://angel.co/influencerz-io/jobs/379016-react-web-developer" TargetMode="External"/><Relationship Id="rId612" Type="http://schemas.openxmlformats.org/officeDocument/2006/relationships/hyperlink" Target="http://www.thinkcol.com/" TargetMode="External"/><Relationship Id="rId1035" Type="http://schemas.openxmlformats.org/officeDocument/2006/relationships/hyperlink" Target="https://angel.co/wecudos-1/jobs/400491-chief-technology-officer" TargetMode="External"/><Relationship Id="rId1242" Type="http://schemas.openxmlformats.org/officeDocument/2006/relationships/hyperlink" Target="mailto:info@stockflare.com" TargetMode="External"/><Relationship Id="rId917" Type="http://schemas.openxmlformats.org/officeDocument/2006/relationships/hyperlink" Target="https://www.linkedin.com/company/voomenu/?originalSubdomain=ca" TargetMode="External"/><Relationship Id="rId1102" Type="http://schemas.openxmlformats.org/officeDocument/2006/relationships/hyperlink" Target="mailto:saif.sudoku@gmail.com" TargetMode="External"/><Relationship Id="rId46" Type="http://schemas.openxmlformats.org/officeDocument/2006/relationships/hyperlink" Target="mailto:hello@coinected.io" TargetMode="External"/><Relationship Id="rId1407" Type="http://schemas.openxmlformats.org/officeDocument/2006/relationships/hyperlink" Target="https://www.linkedin.com/company/zotto-mobile/" TargetMode="External"/><Relationship Id="rId195" Type="http://schemas.openxmlformats.org/officeDocument/2006/relationships/hyperlink" Target="mailto:contact@cloudaron.com" TargetMode="External"/><Relationship Id="rId262" Type="http://schemas.openxmlformats.org/officeDocument/2006/relationships/hyperlink" Target="https://www.f6s.com/jobs/36423/cladnetwork/software-developer" TargetMode="External"/><Relationship Id="rId567" Type="http://schemas.openxmlformats.org/officeDocument/2006/relationships/hyperlink" Target="https://www.f6s.com/jobs/36813/rinascimente/education-app-developer-product-manager" TargetMode="External"/><Relationship Id="rId1197" Type="http://schemas.openxmlformats.org/officeDocument/2006/relationships/hyperlink" Target="mailto:Hoi@hitchbird.com" TargetMode="External"/><Relationship Id="rId122" Type="http://schemas.openxmlformats.org/officeDocument/2006/relationships/hyperlink" Target="https://www.f6s.com/jobs/35841/meisterwerk/java-script-engineer" TargetMode="External"/><Relationship Id="rId774" Type="http://schemas.openxmlformats.org/officeDocument/2006/relationships/hyperlink" Target="https://www.thestoriesstudio.com/" TargetMode="External"/><Relationship Id="rId981" Type="http://schemas.openxmlformats.org/officeDocument/2006/relationships/hyperlink" Target="https://angel.co/the-other-dimension-52" TargetMode="External"/><Relationship Id="rId1057" Type="http://schemas.openxmlformats.org/officeDocument/2006/relationships/hyperlink" Target="https://www.hapz.com/" TargetMode="External"/><Relationship Id="rId427" Type="http://schemas.openxmlformats.org/officeDocument/2006/relationships/hyperlink" Target="http://startupjobs.asia/job/38782-php-developer-it-snsoft-sdn-bhd-malaysia" TargetMode="External"/><Relationship Id="rId634" Type="http://schemas.openxmlformats.org/officeDocument/2006/relationships/hyperlink" Target="mailto:Tyler@pandorabox.com.my" TargetMode="External"/><Relationship Id="rId841" Type="http://schemas.openxmlformats.org/officeDocument/2006/relationships/hyperlink" Target="https://www.linkedin.com/company/rendermusic/" TargetMode="External"/><Relationship Id="rId1264" Type="http://schemas.openxmlformats.org/officeDocument/2006/relationships/hyperlink" Target="mailto:rbright@therapy-box.co.uk" TargetMode="External"/><Relationship Id="rId701" Type="http://schemas.openxmlformats.org/officeDocument/2006/relationships/hyperlink" Target="mailto:info@amplifyintelligence.com" TargetMode="External"/><Relationship Id="rId939" Type="http://schemas.openxmlformats.org/officeDocument/2006/relationships/hyperlink" Target="https://www.f6s.com/jobs/37405/riceappy/back-end-developer" TargetMode="External"/><Relationship Id="rId1124" Type="http://schemas.openxmlformats.org/officeDocument/2006/relationships/hyperlink" Target="https://angel.co/rebel-role-model" TargetMode="External"/><Relationship Id="rId1331" Type="http://schemas.openxmlformats.org/officeDocument/2006/relationships/hyperlink" Target="https://forwardhealth.co/" TargetMode="Externa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7.xml"/><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A74D3-4265-400E-ACC5-3D7E41447BC0}">
  <sheetPr codeName="Sheet1"/>
  <dimension ref="A1:Y338"/>
  <sheetViews>
    <sheetView tabSelected="1" topLeftCell="H1" zoomScaleNormal="100" workbookViewId="0">
      <selection activeCell="V2" sqref="V2"/>
    </sheetView>
  </sheetViews>
  <sheetFormatPr defaultRowHeight="14.4" x14ac:dyDescent="0.3"/>
  <cols>
    <col min="2" max="4" width="10.77734375" customWidth="1"/>
    <col min="5" max="6" width="11.21875" customWidth="1"/>
    <col min="24" max="24" width="13" customWidth="1"/>
  </cols>
  <sheetData>
    <row r="1" spans="1:24" ht="15" thickBot="1" x14ac:dyDescent="0.35">
      <c r="A1" s="1" t="s">
        <v>0</v>
      </c>
      <c r="B1" s="2" t="s">
        <v>1</v>
      </c>
      <c r="C1" s="2" t="s">
        <v>2499</v>
      </c>
      <c r="D1" s="2" t="s">
        <v>2497</v>
      </c>
      <c r="E1" s="2" t="s">
        <v>2</v>
      </c>
      <c r="F1" s="2" t="s">
        <v>2498</v>
      </c>
      <c r="G1" s="3" t="s">
        <v>3</v>
      </c>
      <c r="H1" s="3" t="s">
        <v>4</v>
      </c>
      <c r="I1" s="3" t="s">
        <v>5</v>
      </c>
      <c r="J1" s="3" t="s">
        <v>6</v>
      </c>
      <c r="K1" s="3" t="s">
        <v>7</v>
      </c>
      <c r="L1" s="3" t="s">
        <v>8</v>
      </c>
      <c r="M1" s="3" t="s">
        <v>9</v>
      </c>
      <c r="N1" s="3" t="s">
        <v>10</v>
      </c>
      <c r="O1" s="3" t="s">
        <v>11</v>
      </c>
      <c r="P1" s="3" t="s">
        <v>9</v>
      </c>
      <c r="Q1" s="3" t="s">
        <v>10</v>
      </c>
      <c r="R1" s="3" t="s">
        <v>12</v>
      </c>
      <c r="S1" s="3" t="s">
        <v>13</v>
      </c>
      <c r="T1" s="3" t="s">
        <v>14</v>
      </c>
      <c r="U1" s="4" t="s">
        <v>2489</v>
      </c>
      <c r="V1" s="5" t="s">
        <v>15</v>
      </c>
      <c r="W1" s="5" t="s">
        <v>16</v>
      </c>
      <c r="X1" s="74" t="s">
        <v>2490</v>
      </c>
    </row>
    <row r="2" spans="1:24" x14ac:dyDescent="0.3">
      <c r="A2" s="6">
        <v>1</v>
      </c>
      <c r="B2" s="7">
        <v>43215</v>
      </c>
      <c r="C2" s="7" t="str">
        <f>TEXT(B2, "yyyy")</f>
        <v>2018</v>
      </c>
      <c r="D2" s="7" t="str">
        <f>TEXT(B2, "mmm")</f>
        <v>Apr</v>
      </c>
      <c r="E2" s="7">
        <v>43215</v>
      </c>
      <c r="F2" s="7" t="str">
        <f>TEXT(E2, "mmm")</f>
        <v>Apr</v>
      </c>
      <c r="G2" s="6" t="s">
        <v>17</v>
      </c>
      <c r="H2" s="6" t="s">
        <v>18</v>
      </c>
      <c r="I2" s="6" t="s">
        <v>19</v>
      </c>
      <c r="J2" s="6"/>
      <c r="K2" s="6" t="s">
        <v>20</v>
      </c>
      <c r="L2" s="6" t="s">
        <v>21</v>
      </c>
      <c r="M2" s="6"/>
      <c r="N2" s="6"/>
      <c r="O2" s="6"/>
      <c r="P2" s="6"/>
      <c r="Q2" s="6"/>
      <c r="R2" s="6"/>
      <c r="S2" s="6" t="s">
        <v>22</v>
      </c>
      <c r="T2" s="6" t="str">
        <f>GetCellColorStatus(B2)</f>
        <v>No Progress</v>
      </c>
      <c r="U2" s="73" t="s">
        <v>23</v>
      </c>
      <c r="V2" t="str">
        <f>IF(U2 = "", "No Source", MID(U2, SEARCH("//", U2) + 2, SEARCH("/", U2, SEARCH("//", U2) + 2) - SEARCH("//", U2) - 2))</f>
        <v>e27.co</v>
      </c>
      <c r="W2" s="6" t="s">
        <v>24</v>
      </c>
      <c r="X2" t="str">
        <f>IF(OR(ISNUMBER(SEARCH("no answer", LOWER(S2))), ISNUMBER(SEARCH("not interested", LOWER(S2)))), "Negative",
IF(OR(ISNUMBER(SEARCH("email sent", LOWER(S2))), ISNUMBER(SEARCH("follow up", LOWER(S2))), ISNUMBER(SEARCH("spoke", LOWER(S2)))), "Positive",
"Neutral"))</f>
        <v>Neutral</v>
      </c>
    </row>
    <row r="3" spans="1:24" x14ac:dyDescent="0.3">
      <c r="A3" s="6">
        <v>2</v>
      </c>
      <c r="B3" s="6" t="s">
        <v>25</v>
      </c>
      <c r="C3" s="7" t="str">
        <f t="shared" ref="C3:C66" si="0">TEXT(B3, "yyyy")</f>
        <v>2018</v>
      </c>
      <c r="D3" s="7" t="str">
        <f t="shared" ref="D3:D66" si="1">TEXT(B3, "mmm")</f>
        <v>Apr</v>
      </c>
      <c r="E3" s="7">
        <v>43215</v>
      </c>
      <c r="F3" s="7" t="str">
        <f t="shared" ref="F3:F66" si="2">TEXT(E3, "mmm")</f>
        <v>Apr</v>
      </c>
      <c r="G3" s="8" t="s">
        <v>26</v>
      </c>
      <c r="H3" s="8" t="s">
        <v>27</v>
      </c>
      <c r="I3" s="8" t="s">
        <v>28</v>
      </c>
      <c r="J3" s="8" t="s">
        <v>29</v>
      </c>
      <c r="K3" s="8" t="s">
        <v>20</v>
      </c>
      <c r="L3" s="8" t="s">
        <v>30</v>
      </c>
      <c r="M3" s="8"/>
      <c r="N3" s="8"/>
      <c r="O3" s="8"/>
      <c r="P3" s="8"/>
      <c r="Q3" s="8"/>
      <c r="R3" s="8"/>
      <c r="S3" s="6" t="s">
        <v>22</v>
      </c>
      <c r="T3" s="6" t="str">
        <f t="shared" ref="T3:T66" si="3">GetCellColorStatus(B3)</f>
        <v>No Progress</v>
      </c>
      <c r="U3" s="9" t="s">
        <v>31</v>
      </c>
      <c r="V3" t="str">
        <f t="shared" ref="V3:V66" si="4">IF(U3 = "", "No Source", MID(U3, SEARCH("//", U3) + 2, SEARCH("/", U3, SEARCH("//", U3) + 2) - SEARCH("//", U3) - 2))</f>
        <v>e27.co</v>
      </c>
      <c r="W3" s="8"/>
      <c r="X3" t="str">
        <f t="shared" ref="X3:X66" si="5">IF(OR(ISNUMBER(SEARCH("no answer", LOWER(S3))), ISNUMBER(SEARCH("not interested", LOWER(S3)))), "Negative",
IF(OR(ISNUMBER(SEARCH("email sent", LOWER(S3))), ISNUMBER(SEARCH("follow up", LOWER(S3))), ISNUMBER(SEARCH("spoke", LOWER(S3)))), "Positive",
"Neutral"))</f>
        <v>Neutral</v>
      </c>
    </row>
    <row r="4" spans="1:24" x14ac:dyDescent="0.3">
      <c r="A4" s="6">
        <v>3</v>
      </c>
      <c r="B4" s="6" t="s">
        <v>25</v>
      </c>
      <c r="C4" s="7" t="str">
        <f t="shared" si="0"/>
        <v>2018</v>
      </c>
      <c r="D4" s="7" t="str">
        <f t="shared" si="1"/>
        <v>Apr</v>
      </c>
      <c r="E4" s="10">
        <v>43257</v>
      </c>
      <c r="F4" s="7" t="str">
        <f t="shared" si="2"/>
        <v>Jun</v>
      </c>
      <c r="G4" s="8" t="s">
        <v>32</v>
      </c>
      <c r="H4" t="s">
        <v>33</v>
      </c>
      <c r="I4" s="8" t="s">
        <v>34</v>
      </c>
      <c r="J4" s="8" t="s">
        <v>35</v>
      </c>
      <c r="K4" s="8" t="s">
        <v>20</v>
      </c>
      <c r="L4" s="8" t="s">
        <v>36</v>
      </c>
      <c r="M4" s="8" t="s">
        <v>37</v>
      </c>
      <c r="N4" s="8" t="s">
        <v>38</v>
      </c>
      <c r="O4" s="8"/>
      <c r="Q4" s="8" t="s">
        <v>39</v>
      </c>
      <c r="R4" s="8"/>
      <c r="S4" s="8" t="s">
        <v>40</v>
      </c>
      <c r="T4" s="6" t="str">
        <f t="shared" si="3"/>
        <v>No Progress</v>
      </c>
      <c r="U4" s="9" t="s">
        <v>41</v>
      </c>
      <c r="V4" t="str">
        <f t="shared" si="4"/>
        <v>e27.co</v>
      </c>
      <c r="W4" s="8" t="s">
        <v>42</v>
      </c>
      <c r="X4" t="str">
        <f t="shared" si="5"/>
        <v>Negative</v>
      </c>
    </row>
    <row r="5" spans="1:24" x14ac:dyDescent="0.3">
      <c r="A5" s="6">
        <v>4</v>
      </c>
      <c r="B5" s="6" t="s">
        <v>25</v>
      </c>
      <c r="C5" s="7" t="str">
        <f t="shared" si="0"/>
        <v>2018</v>
      </c>
      <c r="D5" s="7" t="str">
        <f t="shared" si="1"/>
        <v>Apr</v>
      </c>
      <c r="E5" s="10">
        <v>43257</v>
      </c>
      <c r="F5" s="7" t="str">
        <f t="shared" si="2"/>
        <v>Jun</v>
      </c>
      <c r="G5" s="8" t="s">
        <v>17</v>
      </c>
      <c r="H5" s="8" t="s">
        <v>43</v>
      </c>
      <c r="I5" s="8" t="s">
        <v>34</v>
      </c>
      <c r="J5" s="8" t="s">
        <v>44</v>
      </c>
      <c r="K5" s="8" t="s">
        <v>45</v>
      </c>
      <c r="L5" s="8" t="s">
        <v>46</v>
      </c>
      <c r="M5" s="8"/>
      <c r="N5" s="8" t="s">
        <v>47</v>
      </c>
      <c r="O5" s="8"/>
      <c r="P5" s="8"/>
      <c r="Q5" s="8" t="s">
        <v>48</v>
      </c>
      <c r="R5" s="8"/>
      <c r="S5" s="8" t="s">
        <v>49</v>
      </c>
      <c r="T5" s="6" t="str">
        <f t="shared" si="3"/>
        <v>No Progress</v>
      </c>
      <c r="U5" s="9" t="s">
        <v>50</v>
      </c>
      <c r="V5" t="str">
        <f t="shared" si="4"/>
        <v>e27.co</v>
      </c>
      <c r="W5" s="8" t="s">
        <v>51</v>
      </c>
      <c r="X5" t="str">
        <f t="shared" si="5"/>
        <v>Neutral</v>
      </c>
    </row>
    <row r="6" spans="1:24" x14ac:dyDescent="0.3">
      <c r="A6" s="6">
        <v>5</v>
      </c>
      <c r="B6" s="6" t="s">
        <v>25</v>
      </c>
      <c r="C6" s="7" t="str">
        <f t="shared" si="0"/>
        <v>2018</v>
      </c>
      <c r="D6" s="7" t="str">
        <f t="shared" si="1"/>
        <v>Apr</v>
      </c>
      <c r="E6" s="10">
        <v>43270</v>
      </c>
      <c r="F6" s="7" t="str">
        <f t="shared" si="2"/>
        <v>Jun</v>
      </c>
      <c r="G6" s="8" t="s">
        <v>52</v>
      </c>
      <c r="H6" s="8" t="s">
        <v>53</v>
      </c>
      <c r="I6" s="8" t="s">
        <v>34</v>
      </c>
      <c r="J6" s="8" t="s">
        <v>54</v>
      </c>
      <c r="K6" s="8" t="s">
        <v>20</v>
      </c>
      <c r="L6" s="8" t="s">
        <v>55</v>
      </c>
      <c r="M6" s="8"/>
      <c r="N6" s="8" t="s">
        <v>56</v>
      </c>
      <c r="O6" s="8"/>
      <c r="P6" s="8"/>
      <c r="Q6" s="8"/>
      <c r="R6" s="8"/>
      <c r="S6" s="8" t="s">
        <v>57</v>
      </c>
      <c r="T6" s="6" t="str">
        <f t="shared" si="3"/>
        <v>No Progress</v>
      </c>
      <c r="U6" s="9" t="s">
        <v>58</v>
      </c>
      <c r="V6" t="str">
        <f t="shared" si="4"/>
        <v>joba.co</v>
      </c>
      <c r="W6" s="8" t="s">
        <v>59</v>
      </c>
      <c r="X6" t="str">
        <f t="shared" si="5"/>
        <v>Neutral</v>
      </c>
    </row>
    <row r="7" spans="1:24" x14ac:dyDescent="0.3">
      <c r="A7" s="6">
        <v>6</v>
      </c>
      <c r="B7" s="12">
        <v>43225</v>
      </c>
      <c r="C7" s="7" t="str">
        <f t="shared" si="0"/>
        <v>2018</v>
      </c>
      <c r="D7" s="7" t="str">
        <f t="shared" si="1"/>
        <v>May</v>
      </c>
      <c r="E7" s="13">
        <v>43250</v>
      </c>
      <c r="F7" s="7" t="str">
        <f t="shared" si="2"/>
        <v>May</v>
      </c>
      <c r="G7" s="11" t="s">
        <v>60</v>
      </c>
      <c r="H7" s="11" t="s">
        <v>61</v>
      </c>
      <c r="I7" s="11" t="s">
        <v>34</v>
      </c>
      <c r="J7" s="11" t="s">
        <v>62</v>
      </c>
      <c r="K7" s="11" t="s">
        <v>20</v>
      </c>
      <c r="L7" s="11" t="s">
        <v>63</v>
      </c>
      <c r="M7" s="11" t="s">
        <v>64</v>
      </c>
      <c r="N7" s="11" t="s">
        <v>65</v>
      </c>
      <c r="O7" s="11"/>
      <c r="P7" s="11"/>
      <c r="Q7" s="11" t="s">
        <v>66</v>
      </c>
      <c r="R7" s="11"/>
      <c r="S7" s="11" t="s">
        <v>67</v>
      </c>
      <c r="T7" s="6" t="str">
        <f t="shared" si="3"/>
        <v>Cold</v>
      </c>
      <c r="U7" s="14"/>
      <c r="V7" t="str">
        <f t="shared" si="4"/>
        <v>No Source</v>
      </c>
      <c r="W7" s="11" t="s">
        <v>68</v>
      </c>
      <c r="X7" t="str">
        <f t="shared" si="5"/>
        <v>Negative</v>
      </c>
    </row>
    <row r="8" spans="1:24" x14ac:dyDescent="0.3">
      <c r="A8" s="6">
        <v>7</v>
      </c>
      <c r="B8" s="15">
        <v>43225</v>
      </c>
      <c r="C8" s="7" t="str">
        <f t="shared" si="0"/>
        <v>2018</v>
      </c>
      <c r="D8" s="7" t="str">
        <f t="shared" si="1"/>
        <v>May</v>
      </c>
      <c r="E8" s="10">
        <v>43272</v>
      </c>
      <c r="F8" s="7" t="str">
        <f t="shared" si="2"/>
        <v>Jun</v>
      </c>
      <c r="G8" s="8" t="s">
        <v>60</v>
      </c>
      <c r="H8" s="8" t="s">
        <v>69</v>
      </c>
      <c r="I8" s="8" t="s">
        <v>34</v>
      </c>
      <c r="J8" s="8" t="s">
        <v>70</v>
      </c>
      <c r="K8" s="8" t="s">
        <v>20</v>
      </c>
      <c r="L8" s="8" t="s">
        <v>71</v>
      </c>
      <c r="M8" s="8" t="s">
        <v>72</v>
      </c>
      <c r="N8" s="8" t="s">
        <v>73</v>
      </c>
      <c r="O8" s="8"/>
      <c r="P8" s="8"/>
      <c r="Q8" s="8"/>
      <c r="R8" s="8"/>
      <c r="S8" s="8" t="s">
        <v>74</v>
      </c>
      <c r="T8" s="6" t="str">
        <f t="shared" si="3"/>
        <v>No Progress</v>
      </c>
      <c r="U8" s="9"/>
      <c r="V8" t="str">
        <f t="shared" si="4"/>
        <v>No Source</v>
      </c>
      <c r="W8" s="8" t="s">
        <v>75</v>
      </c>
      <c r="X8" t="str">
        <f t="shared" si="5"/>
        <v>Negative</v>
      </c>
    </row>
    <row r="9" spans="1:24" x14ac:dyDescent="0.3">
      <c r="A9" s="6">
        <v>8</v>
      </c>
      <c r="B9" s="15">
        <v>43249</v>
      </c>
      <c r="C9" s="7" t="str">
        <f t="shared" si="0"/>
        <v>2018</v>
      </c>
      <c r="D9" s="7" t="str">
        <f t="shared" si="1"/>
        <v>May</v>
      </c>
      <c r="E9" s="10">
        <v>43241</v>
      </c>
      <c r="F9" s="7" t="str">
        <f t="shared" si="2"/>
        <v>May</v>
      </c>
      <c r="G9" s="8" t="s">
        <v>76</v>
      </c>
      <c r="H9" s="8" t="s">
        <v>77</v>
      </c>
      <c r="I9" s="8" t="s">
        <v>34</v>
      </c>
      <c r="J9" s="8" t="s">
        <v>78</v>
      </c>
      <c r="K9" s="8" t="s">
        <v>20</v>
      </c>
      <c r="L9" s="8" t="s">
        <v>79</v>
      </c>
      <c r="M9" s="8" t="s">
        <v>80</v>
      </c>
      <c r="N9" s="8" t="s">
        <v>81</v>
      </c>
      <c r="O9" s="8"/>
      <c r="P9" s="8"/>
      <c r="Q9" s="8" t="s">
        <v>82</v>
      </c>
      <c r="R9" s="8"/>
      <c r="S9" s="8" t="s">
        <v>83</v>
      </c>
      <c r="T9" s="6" t="str">
        <f t="shared" si="3"/>
        <v>No Progress</v>
      </c>
      <c r="U9" s="9"/>
      <c r="V9" t="str">
        <f t="shared" si="4"/>
        <v>No Source</v>
      </c>
      <c r="W9" s="8" t="s">
        <v>84</v>
      </c>
      <c r="X9" t="str">
        <f t="shared" si="5"/>
        <v>Neutral</v>
      </c>
    </row>
    <row r="10" spans="1:24" x14ac:dyDescent="0.3">
      <c r="A10" s="6">
        <v>9</v>
      </c>
      <c r="B10" s="17">
        <v>43234</v>
      </c>
      <c r="C10" s="7" t="str">
        <f t="shared" si="0"/>
        <v>2018</v>
      </c>
      <c r="D10" s="7" t="str">
        <f t="shared" si="1"/>
        <v>May</v>
      </c>
      <c r="E10" s="17">
        <v>43270</v>
      </c>
      <c r="F10" s="7" t="str">
        <f t="shared" si="2"/>
        <v>Jun</v>
      </c>
      <c r="G10" s="16" t="s">
        <v>32</v>
      </c>
      <c r="H10" s="16" t="s">
        <v>85</v>
      </c>
      <c r="I10" s="16" t="s">
        <v>86</v>
      </c>
      <c r="J10" s="16" t="s">
        <v>87</v>
      </c>
      <c r="K10" s="16" t="s">
        <v>20</v>
      </c>
      <c r="L10" s="18" t="s">
        <v>88</v>
      </c>
      <c r="M10" s="16"/>
      <c r="N10" s="16" t="s">
        <v>89</v>
      </c>
      <c r="O10" s="16"/>
      <c r="P10" s="16"/>
      <c r="Q10" s="16"/>
      <c r="R10" s="16"/>
      <c r="S10" s="16" t="s">
        <v>90</v>
      </c>
      <c r="T10" s="6" t="str">
        <f t="shared" si="3"/>
        <v>Warm</v>
      </c>
      <c r="U10" s="19"/>
      <c r="V10" t="str">
        <f t="shared" si="4"/>
        <v>No Source</v>
      </c>
      <c r="W10" s="16" t="s">
        <v>91</v>
      </c>
      <c r="X10" t="str">
        <f t="shared" si="5"/>
        <v>Neutral</v>
      </c>
    </row>
    <row r="11" spans="1:24" x14ac:dyDescent="0.3">
      <c r="A11" s="6">
        <v>10</v>
      </c>
      <c r="B11" s="8" t="s">
        <v>92</v>
      </c>
      <c r="C11" s="7" t="str">
        <f t="shared" si="0"/>
        <v>2018</v>
      </c>
      <c r="D11" s="7" t="str">
        <f t="shared" si="1"/>
        <v>May</v>
      </c>
      <c r="E11" s="10">
        <v>43257</v>
      </c>
      <c r="F11" s="7" t="str">
        <f t="shared" si="2"/>
        <v>Jun</v>
      </c>
      <c r="G11" s="8" t="s">
        <v>93</v>
      </c>
      <c r="H11" s="8" t="s">
        <v>94</v>
      </c>
      <c r="I11" s="8" t="s">
        <v>95</v>
      </c>
      <c r="J11" s="8" t="s">
        <v>96</v>
      </c>
      <c r="K11" s="8" t="s">
        <v>45</v>
      </c>
      <c r="L11" s="8" t="s">
        <v>97</v>
      </c>
      <c r="M11" s="8" t="s">
        <v>98</v>
      </c>
      <c r="N11" s="8" t="s">
        <v>99</v>
      </c>
      <c r="O11" s="8"/>
      <c r="P11" s="8"/>
      <c r="Q11" s="8" t="s">
        <v>100</v>
      </c>
      <c r="R11" s="8"/>
      <c r="S11" s="8" t="s">
        <v>101</v>
      </c>
      <c r="T11" s="6" t="str">
        <f t="shared" si="3"/>
        <v>No Progress</v>
      </c>
      <c r="U11" s="9"/>
      <c r="V11" t="str">
        <f t="shared" si="4"/>
        <v>No Source</v>
      </c>
      <c r="W11" s="8" t="s">
        <v>102</v>
      </c>
      <c r="X11" t="str">
        <f t="shared" si="5"/>
        <v>Neutral</v>
      </c>
    </row>
    <row r="12" spans="1:24" x14ac:dyDescent="0.3">
      <c r="A12" s="6">
        <v>11</v>
      </c>
      <c r="B12" s="57" t="s">
        <v>92</v>
      </c>
      <c r="C12" s="7" t="str">
        <f t="shared" si="0"/>
        <v>2018</v>
      </c>
      <c r="D12" s="7" t="str">
        <f t="shared" si="1"/>
        <v>May</v>
      </c>
      <c r="E12" s="57" t="s">
        <v>103</v>
      </c>
      <c r="F12" s="7" t="str">
        <f t="shared" si="2"/>
        <v>May</v>
      </c>
      <c r="G12" s="57" t="s">
        <v>17</v>
      </c>
      <c r="H12" s="57" t="s">
        <v>104</v>
      </c>
      <c r="I12" s="57" t="s">
        <v>105</v>
      </c>
      <c r="J12" s="58" t="s">
        <v>106</v>
      </c>
      <c r="K12" s="57" t="s">
        <v>20</v>
      </c>
      <c r="L12" s="57" t="s">
        <v>107</v>
      </c>
      <c r="M12" s="57"/>
      <c r="N12" s="58" t="s">
        <v>108</v>
      </c>
      <c r="O12" s="57"/>
      <c r="P12" s="57"/>
      <c r="Q12" s="57"/>
      <c r="R12" s="57"/>
      <c r="S12" s="57" t="s">
        <v>109</v>
      </c>
      <c r="T12" s="6" t="str">
        <f t="shared" si="3"/>
        <v>Warm</v>
      </c>
      <c r="U12" s="59" t="s">
        <v>110</v>
      </c>
      <c r="V12" t="str">
        <f t="shared" si="4"/>
        <v>startupjobs.asia</v>
      </c>
      <c r="W12" s="58" t="s">
        <v>111</v>
      </c>
      <c r="X12" t="str">
        <f t="shared" si="5"/>
        <v>Neutral</v>
      </c>
    </row>
    <row r="13" spans="1:24" x14ac:dyDescent="0.3">
      <c r="A13" s="6">
        <v>12</v>
      </c>
      <c r="B13" s="8" t="s">
        <v>92</v>
      </c>
      <c r="C13" s="7" t="str">
        <f t="shared" si="0"/>
        <v>2018</v>
      </c>
      <c r="D13" s="7" t="str">
        <f t="shared" si="1"/>
        <v>May</v>
      </c>
      <c r="E13" s="10">
        <v>43257</v>
      </c>
      <c r="F13" s="7" t="str">
        <f t="shared" si="2"/>
        <v>Jun</v>
      </c>
      <c r="G13" s="8" t="s">
        <v>32</v>
      </c>
      <c r="H13" s="8" t="s">
        <v>112</v>
      </c>
      <c r="I13" s="8" t="s">
        <v>105</v>
      </c>
      <c r="J13" s="8" t="s">
        <v>113</v>
      </c>
      <c r="K13" s="8" t="s">
        <v>20</v>
      </c>
      <c r="L13" s="8" t="s">
        <v>114</v>
      </c>
      <c r="M13" s="8"/>
      <c r="N13" s="8" t="s">
        <v>115</v>
      </c>
      <c r="O13" s="8"/>
      <c r="P13" s="8"/>
      <c r="Q13" s="8"/>
      <c r="R13" s="8"/>
      <c r="S13" s="8" t="s">
        <v>116</v>
      </c>
      <c r="T13" s="6" t="str">
        <f t="shared" si="3"/>
        <v>No Progress</v>
      </c>
      <c r="U13" s="9"/>
      <c r="V13" t="str">
        <f t="shared" si="4"/>
        <v>No Source</v>
      </c>
      <c r="W13" s="8" t="s">
        <v>117</v>
      </c>
      <c r="X13" t="str">
        <f t="shared" si="5"/>
        <v>Neutral</v>
      </c>
    </row>
    <row r="14" spans="1:24" x14ac:dyDescent="0.3">
      <c r="A14" s="6">
        <v>13</v>
      </c>
      <c r="B14" s="8" t="s">
        <v>103</v>
      </c>
      <c r="C14" s="7" t="str">
        <f t="shared" si="0"/>
        <v>2018</v>
      </c>
      <c r="D14" s="7" t="str">
        <f t="shared" si="1"/>
        <v>May</v>
      </c>
      <c r="E14" s="10">
        <v>43257</v>
      </c>
      <c r="F14" s="7" t="str">
        <f t="shared" si="2"/>
        <v>Jun</v>
      </c>
      <c r="G14" s="8" t="s">
        <v>32</v>
      </c>
      <c r="H14" s="8" t="s">
        <v>118</v>
      </c>
      <c r="I14" s="8" t="s">
        <v>119</v>
      </c>
      <c r="J14" s="8" t="s">
        <v>120</v>
      </c>
      <c r="K14" s="8" t="s">
        <v>20</v>
      </c>
      <c r="L14" s="8" t="s">
        <v>121</v>
      </c>
      <c r="M14" s="8"/>
      <c r="N14" s="8" t="s">
        <v>122</v>
      </c>
      <c r="O14" s="8"/>
      <c r="P14" s="8"/>
      <c r="Q14" s="8" t="s">
        <v>123</v>
      </c>
      <c r="R14" s="8"/>
      <c r="S14" s="8" t="s">
        <v>124</v>
      </c>
      <c r="T14" s="6" t="str">
        <f t="shared" si="3"/>
        <v>No Progress</v>
      </c>
      <c r="U14" s="9" t="s">
        <v>125</v>
      </c>
      <c r="V14" t="str">
        <f t="shared" si="4"/>
        <v>www.techinasia.com</v>
      </c>
      <c r="W14" s="8" t="s">
        <v>126</v>
      </c>
      <c r="X14" t="str">
        <f t="shared" si="5"/>
        <v>Neutral</v>
      </c>
    </row>
    <row r="15" spans="1:24" x14ac:dyDescent="0.3">
      <c r="A15" s="6">
        <v>14</v>
      </c>
      <c r="B15" s="60" t="s">
        <v>103</v>
      </c>
      <c r="C15" s="7" t="str">
        <f t="shared" si="0"/>
        <v>2018</v>
      </c>
      <c r="D15" s="7" t="str">
        <f t="shared" si="1"/>
        <v>May</v>
      </c>
      <c r="E15" s="61">
        <v>43291</v>
      </c>
      <c r="F15" s="7" t="str">
        <f t="shared" si="2"/>
        <v>Jul</v>
      </c>
      <c r="G15" s="60" t="s">
        <v>32</v>
      </c>
      <c r="H15" s="60" t="s">
        <v>127</v>
      </c>
      <c r="I15" s="60" t="s">
        <v>34</v>
      </c>
      <c r="J15" s="60" t="s">
        <v>128</v>
      </c>
      <c r="K15" s="60" t="s">
        <v>20</v>
      </c>
      <c r="L15" s="60" t="s">
        <v>129</v>
      </c>
      <c r="M15" s="60" t="s">
        <v>130</v>
      </c>
      <c r="N15" s="60" t="s">
        <v>131</v>
      </c>
      <c r="O15" s="60"/>
      <c r="P15" s="60"/>
      <c r="Q15" s="60" t="s">
        <v>132</v>
      </c>
      <c r="R15" s="60"/>
      <c r="S15" s="60" t="s">
        <v>133</v>
      </c>
      <c r="T15" s="6" t="str">
        <f t="shared" si="3"/>
        <v>Hot</v>
      </c>
      <c r="U15" s="62" t="s">
        <v>134</v>
      </c>
      <c r="V15" t="str">
        <f t="shared" si="4"/>
        <v>www.techinasia.com</v>
      </c>
      <c r="W15" s="60" t="s">
        <v>135</v>
      </c>
      <c r="X15" t="str">
        <f t="shared" si="5"/>
        <v>Positive</v>
      </c>
    </row>
    <row r="16" spans="1:24" x14ac:dyDescent="0.3">
      <c r="A16" s="6">
        <v>15</v>
      </c>
      <c r="B16" s="8" t="s">
        <v>103</v>
      </c>
      <c r="C16" s="7" t="str">
        <f t="shared" si="0"/>
        <v>2018</v>
      </c>
      <c r="D16" s="7" t="str">
        <f t="shared" si="1"/>
        <v>May</v>
      </c>
      <c r="E16" s="10">
        <v>43252</v>
      </c>
      <c r="F16" s="7" t="str">
        <f t="shared" si="2"/>
        <v>Jun</v>
      </c>
      <c r="G16" s="8" t="s">
        <v>32</v>
      </c>
      <c r="H16" s="8" t="s">
        <v>136</v>
      </c>
      <c r="I16" s="8" t="s">
        <v>137</v>
      </c>
      <c r="J16" s="8" t="s">
        <v>138</v>
      </c>
      <c r="K16" s="8" t="s">
        <v>20</v>
      </c>
      <c r="L16" s="8" t="s">
        <v>139</v>
      </c>
      <c r="M16" s="8" t="s">
        <v>140</v>
      </c>
      <c r="N16" s="8" t="s">
        <v>141</v>
      </c>
      <c r="O16" s="8"/>
      <c r="P16" s="8"/>
      <c r="Q16" s="8" t="s">
        <v>142</v>
      </c>
      <c r="R16" s="8"/>
      <c r="S16" s="8" t="s">
        <v>143</v>
      </c>
      <c r="T16" s="6" t="str">
        <f t="shared" si="3"/>
        <v>No Progress</v>
      </c>
      <c r="U16" s="9" t="s">
        <v>144</v>
      </c>
      <c r="V16" t="str">
        <f t="shared" si="4"/>
        <v>e27.co</v>
      </c>
      <c r="W16" s="8" t="s">
        <v>145</v>
      </c>
      <c r="X16" t="str">
        <f t="shared" si="5"/>
        <v>Positive</v>
      </c>
    </row>
    <row r="17" spans="1:24" x14ac:dyDescent="0.3">
      <c r="A17" s="6">
        <v>16</v>
      </c>
      <c r="B17" s="8" t="s">
        <v>103</v>
      </c>
      <c r="C17" s="7" t="str">
        <f t="shared" si="0"/>
        <v>2018</v>
      </c>
      <c r="D17" s="7" t="str">
        <f t="shared" si="1"/>
        <v>May</v>
      </c>
      <c r="E17" s="8" t="s">
        <v>103</v>
      </c>
      <c r="F17" s="7" t="str">
        <f t="shared" si="2"/>
        <v>May</v>
      </c>
      <c r="G17" s="8" t="s">
        <v>32</v>
      </c>
      <c r="H17" s="8" t="s">
        <v>146</v>
      </c>
      <c r="I17" s="8" t="s">
        <v>147</v>
      </c>
      <c r="J17" s="8" t="s">
        <v>148</v>
      </c>
      <c r="K17" s="8" t="s">
        <v>20</v>
      </c>
      <c r="L17" s="8" t="s">
        <v>149</v>
      </c>
      <c r="M17" s="8" t="s">
        <v>150</v>
      </c>
      <c r="N17" s="8"/>
      <c r="O17" s="8"/>
      <c r="P17" s="8"/>
      <c r="Q17" s="8"/>
      <c r="R17" s="8"/>
      <c r="S17" s="8" t="s">
        <v>151</v>
      </c>
      <c r="T17" s="6" t="str">
        <f t="shared" si="3"/>
        <v>No Progress</v>
      </c>
      <c r="U17" s="8" t="s">
        <v>152</v>
      </c>
      <c r="V17" t="str">
        <f t="shared" si="4"/>
        <v>e27.co</v>
      </c>
      <c r="W17" s="20" t="s">
        <v>153</v>
      </c>
      <c r="X17" t="str">
        <f t="shared" si="5"/>
        <v>Neutral</v>
      </c>
    </row>
    <row r="18" spans="1:24" x14ac:dyDescent="0.3">
      <c r="A18" s="6">
        <v>17</v>
      </c>
      <c r="B18" s="8" t="s">
        <v>103</v>
      </c>
      <c r="C18" s="7" t="str">
        <f t="shared" si="0"/>
        <v>2018</v>
      </c>
      <c r="D18" s="7" t="str">
        <f t="shared" si="1"/>
        <v>May</v>
      </c>
      <c r="E18" s="10">
        <v>43257</v>
      </c>
      <c r="F18" s="7" t="str">
        <f t="shared" si="2"/>
        <v>Jun</v>
      </c>
      <c r="G18" s="8" t="s">
        <v>32</v>
      </c>
      <c r="H18" s="8" t="s">
        <v>154</v>
      </c>
      <c r="I18" s="8" t="s">
        <v>155</v>
      </c>
      <c r="J18" s="8" t="s">
        <v>156</v>
      </c>
      <c r="K18" s="8" t="s">
        <v>20</v>
      </c>
      <c r="L18" s="8" t="s">
        <v>157</v>
      </c>
      <c r="M18" s="8"/>
      <c r="N18" s="8" t="s">
        <v>158</v>
      </c>
      <c r="O18" s="8"/>
      <c r="P18" s="8"/>
      <c r="Q18" s="8"/>
      <c r="R18" s="8"/>
      <c r="S18" s="8" t="s">
        <v>159</v>
      </c>
      <c r="T18" s="6" t="str">
        <f t="shared" si="3"/>
        <v>No Progress</v>
      </c>
      <c r="U18" s="8" t="s">
        <v>160</v>
      </c>
      <c r="V18" t="str">
        <f t="shared" si="4"/>
        <v>e27.co</v>
      </c>
      <c r="W18" s="20" t="s">
        <v>161</v>
      </c>
      <c r="X18" t="str">
        <f t="shared" si="5"/>
        <v>Neutral</v>
      </c>
    </row>
    <row r="19" spans="1:24" x14ac:dyDescent="0.3">
      <c r="A19" s="6">
        <v>18</v>
      </c>
      <c r="B19" s="8" t="s">
        <v>103</v>
      </c>
      <c r="C19" s="7" t="str">
        <f t="shared" si="0"/>
        <v>2018</v>
      </c>
      <c r="D19" s="7" t="str">
        <f t="shared" si="1"/>
        <v>May</v>
      </c>
      <c r="E19" s="8" t="s">
        <v>103</v>
      </c>
      <c r="F19" s="7" t="str">
        <f t="shared" si="2"/>
        <v>May</v>
      </c>
      <c r="G19" s="8" t="s">
        <v>32</v>
      </c>
      <c r="H19" s="8" t="s">
        <v>162</v>
      </c>
      <c r="I19" s="8" t="s">
        <v>155</v>
      </c>
      <c r="J19" s="8" t="s">
        <v>163</v>
      </c>
      <c r="K19" s="8" t="s">
        <v>20</v>
      </c>
      <c r="L19" s="8" t="s">
        <v>164</v>
      </c>
      <c r="M19" s="8" t="s">
        <v>165</v>
      </c>
      <c r="N19" s="8" t="s">
        <v>166</v>
      </c>
      <c r="O19" s="8"/>
      <c r="P19" s="8"/>
      <c r="Q19" s="8"/>
      <c r="R19" s="8"/>
      <c r="S19" s="8" t="s">
        <v>167</v>
      </c>
      <c r="T19" s="6" t="str">
        <f t="shared" si="3"/>
        <v>No Progress</v>
      </c>
      <c r="U19" s="8" t="s">
        <v>168</v>
      </c>
      <c r="V19" t="str">
        <f t="shared" si="4"/>
        <v>e27.co</v>
      </c>
      <c r="W19" s="20" t="s">
        <v>169</v>
      </c>
      <c r="X19" t="str">
        <f t="shared" si="5"/>
        <v>Neutral</v>
      </c>
    </row>
    <row r="20" spans="1:24" x14ac:dyDescent="0.3">
      <c r="A20" s="6">
        <v>19</v>
      </c>
      <c r="B20" s="8" t="s">
        <v>103</v>
      </c>
      <c r="C20" s="7" t="str">
        <f t="shared" si="0"/>
        <v>2018</v>
      </c>
      <c r="D20" s="7" t="str">
        <f t="shared" si="1"/>
        <v>May</v>
      </c>
      <c r="E20" s="8" t="s">
        <v>103</v>
      </c>
      <c r="F20" s="7" t="str">
        <f t="shared" si="2"/>
        <v>May</v>
      </c>
      <c r="G20" s="8" t="s">
        <v>170</v>
      </c>
      <c r="H20" s="8"/>
      <c r="I20" s="8"/>
      <c r="J20" s="8"/>
      <c r="K20" s="8"/>
      <c r="L20" s="8"/>
      <c r="M20" s="8"/>
      <c r="N20" s="8" t="s">
        <v>171</v>
      </c>
      <c r="O20" s="8"/>
      <c r="P20" s="8"/>
      <c r="Q20" s="8"/>
      <c r="R20" s="8"/>
      <c r="S20" s="8" t="s">
        <v>172</v>
      </c>
      <c r="T20" s="6" t="str">
        <f t="shared" si="3"/>
        <v>No Progress</v>
      </c>
      <c r="U20" s="8" t="s">
        <v>173</v>
      </c>
      <c r="V20" t="str">
        <f t="shared" si="4"/>
        <v>www.weworkmeteor.com</v>
      </c>
      <c r="W20" s="20"/>
      <c r="X20" t="str">
        <f t="shared" si="5"/>
        <v>Neutral</v>
      </c>
    </row>
    <row r="21" spans="1:24" x14ac:dyDescent="0.3">
      <c r="A21" s="6">
        <v>20</v>
      </c>
      <c r="B21" s="8" t="s">
        <v>103</v>
      </c>
      <c r="C21" s="7" t="str">
        <f t="shared" si="0"/>
        <v>2018</v>
      </c>
      <c r="D21" s="7" t="str">
        <f t="shared" si="1"/>
        <v>May</v>
      </c>
      <c r="E21" s="10">
        <v>43257</v>
      </c>
      <c r="F21" s="7" t="str">
        <f t="shared" si="2"/>
        <v>Jun</v>
      </c>
      <c r="G21" s="8" t="s">
        <v>17</v>
      </c>
      <c r="H21" s="8" t="s">
        <v>174</v>
      </c>
      <c r="I21" s="8" t="s">
        <v>175</v>
      </c>
      <c r="J21" s="8" t="s">
        <v>176</v>
      </c>
      <c r="K21" s="8" t="s">
        <v>45</v>
      </c>
      <c r="L21" s="8" t="s">
        <v>177</v>
      </c>
      <c r="M21" s="8"/>
      <c r="N21" s="8" t="s">
        <v>178</v>
      </c>
      <c r="O21" s="8"/>
      <c r="P21" s="8"/>
      <c r="Q21" s="8"/>
      <c r="R21" s="8"/>
      <c r="S21" s="8" t="s">
        <v>159</v>
      </c>
      <c r="T21" s="6" t="str">
        <f t="shared" si="3"/>
        <v>No Progress</v>
      </c>
      <c r="U21" s="8" t="s">
        <v>179</v>
      </c>
      <c r="V21" t="str">
        <f t="shared" si="4"/>
        <v>www.weworkmeteor.com</v>
      </c>
      <c r="W21" s="20" t="s">
        <v>180</v>
      </c>
      <c r="X21" t="str">
        <f t="shared" si="5"/>
        <v>Neutral</v>
      </c>
    </row>
    <row r="22" spans="1:24" x14ac:dyDescent="0.3">
      <c r="A22" s="6">
        <v>21</v>
      </c>
      <c r="B22" s="16" t="s">
        <v>103</v>
      </c>
      <c r="C22" s="7" t="str">
        <f t="shared" si="0"/>
        <v>2018</v>
      </c>
      <c r="D22" s="7" t="str">
        <f t="shared" si="1"/>
        <v>May</v>
      </c>
      <c r="E22" s="17">
        <v>43272</v>
      </c>
      <c r="F22" s="7" t="str">
        <f t="shared" si="2"/>
        <v>Jun</v>
      </c>
      <c r="G22" s="16" t="s">
        <v>181</v>
      </c>
      <c r="H22" s="16" t="s">
        <v>182</v>
      </c>
      <c r="I22" s="16"/>
      <c r="J22" s="16" t="s">
        <v>183</v>
      </c>
      <c r="K22" s="16" t="s">
        <v>20</v>
      </c>
      <c r="L22" s="16" t="s">
        <v>184</v>
      </c>
      <c r="M22" s="16" t="s">
        <v>185</v>
      </c>
      <c r="N22" s="16" t="s">
        <v>186</v>
      </c>
      <c r="O22" s="16"/>
      <c r="P22" s="16"/>
      <c r="Q22" s="16"/>
      <c r="R22" s="16"/>
      <c r="S22" s="16" t="s">
        <v>187</v>
      </c>
      <c r="T22" s="6" t="str">
        <f t="shared" si="3"/>
        <v>Warm</v>
      </c>
      <c r="U22" s="16" t="s">
        <v>188</v>
      </c>
      <c r="V22" t="str">
        <f t="shared" si="4"/>
        <v>www.f6s.com</v>
      </c>
      <c r="W22" s="21" t="s">
        <v>189</v>
      </c>
      <c r="X22" t="str">
        <f t="shared" si="5"/>
        <v>Negative</v>
      </c>
    </row>
    <row r="23" spans="1:24" x14ac:dyDescent="0.3">
      <c r="A23" s="6">
        <v>22</v>
      </c>
      <c r="B23" s="8" t="s">
        <v>190</v>
      </c>
      <c r="C23" s="7" t="str">
        <f t="shared" si="0"/>
        <v>2018</v>
      </c>
      <c r="D23" s="7" t="str">
        <f t="shared" si="1"/>
        <v>May</v>
      </c>
      <c r="E23" s="10">
        <v>43250</v>
      </c>
      <c r="F23" s="7" t="str">
        <f t="shared" si="2"/>
        <v>May</v>
      </c>
      <c r="G23" s="8" t="s">
        <v>191</v>
      </c>
      <c r="H23" s="8" t="s">
        <v>192</v>
      </c>
      <c r="I23" s="8" t="s">
        <v>193</v>
      </c>
      <c r="J23" s="8" t="s">
        <v>194</v>
      </c>
      <c r="K23" s="8" t="s">
        <v>20</v>
      </c>
      <c r="L23" s="8" t="s">
        <v>195</v>
      </c>
      <c r="M23" s="8" t="s">
        <v>196</v>
      </c>
      <c r="N23" s="8" t="s">
        <v>197</v>
      </c>
      <c r="O23" s="8"/>
      <c r="P23" s="8"/>
      <c r="Q23" s="8" t="s">
        <v>198</v>
      </c>
      <c r="R23" s="8"/>
      <c r="S23" s="8" t="s">
        <v>199</v>
      </c>
      <c r="T23" s="6" t="str">
        <f t="shared" si="3"/>
        <v>No Progress</v>
      </c>
      <c r="U23" s="8" t="s">
        <v>200</v>
      </c>
      <c r="V23" t="str">
        <f t="shared" si="4"/>
        <v>www.f6s.com</v>
      </c>
      <c r="W23" s="20" t="s">
        <v>201</v>
      </c>
      <c r="X23" t="str">
        <f t="shared" si="5"/>
        <v>Negative</v>
      </c>
    </row>
    <row r="24" spans="1:24" x14ac:dyDescent="0.3">
      <c r="A24" s="6">
        <v>23</v>
      </c>
      <c r="B24" s="60" t="s">
        <v>190</v>
      </c>
      <c r="C24" s="7" t="str">
        <f t="shared" si="0"/>
        <v>2018</v>
      </c>
      <c r="D24" s="7" t="str">
        <f t="shared" si="1"/>
        <v>May</v>
      </c>
      <c r="E24" s="61">
        <v>43272</v>
      </c>
      <c r="F24" s="7" t="str">
        <f t="shared" si="2"/>
        <v>Jun</v>
      </c>
      <c r="G24" s="60" t="s">
        <v>202</v>
      </c>
      <c r="H24" s="60" t="s">
        <v>203</v>
      </c>
      <c r="I24" s="60" t="s">
        <v>204</v>
      </c>
      <c r="J24" s="60" t="s">
        <v>205</v>
      </c>
      <c r="K24" s="60" t="s">
        <v>20</v>
      </c>
      <c r="L24" s="60" t="s">
        <v>206</v>
      </c>
      <c r="M24" s="60" t="s">
        <v>207</v>
      </c>
      <c r="N24" s="60" t="s">
        <v>208</v>
      </c>
      <c r="O24" s="60"/>
      <c r="P24" s="60"/>
      <c r="Q24" s="60" t="s">
        <v>209</v>
      </c>
      <c r="R24" s="60"/>
      <c r="S24" s="60" t="s">
        <v>210</v>
      </c>
      <c r="T24" s="6" t="str">
        <f t="shared" si="3"/>
        <v>Hot</v>
      </c>
      <c r="U24" s="60" t="s">
        <v>211</v>
      </c>
      <c r="V24" t="str">
        <f t="shared" si="4"/>
        <v>www.f6s.com</v>
      </c>
      <c r="W24" s="63" t="s">
        <v>212</v>
      </c>
      <c r="X24" t="str">
        <f t="shared" si="5"/>
        <v>Negative</v>
      </c>
    </row>
    <row r="25" spans="1:24" x14ac:dyDescent="0.3">
      <c r="A25" s="6">
        <v>24</v>
      </c>
      <c r="B25" s="11" t="s">
        <v>190</v>
      </c>
      <c r="C25" s="7" t="str">
        <f t="shared" si="0"/>
        <v>2018</v>
      </c>
      <c r="D25" s="7" t="str">
        <f t="shared" si="1"/>
        <v>May</v>
      </c>
      <c r="E25" s="13">
        <v>43251</v>
      </c>
      <c r="F25" s="7" t="str">
        <f t="shared" si="2"/>
        <v>May</v>
      </c>
      <c r="G25" s="11" t="s">
        <v>213</v>
      </c>
      <c r="H25" s="11" t="s">
        <v>214</v>
      </c>
      <c r="I25" s="11" t="s">
        <v>215</v>
      </c>
      <c r="J25" s="11" t="s">
        <v>216</v>
      </c>
      <c r="K25" s="11" t="s">
        <v>20</v>
      </c>
      <c r="L25" s="11" t="s">
        <v>217</v>
      </c>
      <c r="M25" s="11" t="s">
        <v>218</v>
      </c>
      <c r="N25" s="11" t="s">
        <v>219</v>
      </c>
      <c r="O25" s="11"/>
      <c r="P25" s="11" t="s">
        <v>220</v>
      </c>
      <c r="Q25" s="11"/>
      <c r="R25" s="22" t="s">
        <v>221</v>
      </c>
      <c r="S25" s="11" t="s">
        <v>222</v>
      </c>
      <c r="T25" s="6" t="str">
        <f t="shared" si="3"/>
        <v>Cold</v>
      </c>
      <c r="U25" s="11" t="s">
        <v>223</v>
      </c>
      <c r="V25" t="str">
        <f t="shared" si="4"/>
        <v>startupjobs.asia</v>
      </c>
      <c r="W25" s="23" t="s">
        <v>224</v>
      </c>
      <c r="X25" t="str">
        <f t="shared" si="5"/>
        <v>Neutral</v>
      </c>
    </row>
    <row r="26" spans="1:24" x14ac:dyDescent="0.3">
      <c r="A26" s="6">
        <v>25</v>
      </c>
      <c r="B26" s="8" t="s">
        <v>190</v>
      </c>
      <c r="C26" s="7" t="str">
        <f t="shared" si="0"/>
        <v>2018</v>
      </c>
      <c r="D26" s="7" t="str">
        <f t="shared" si="1"/>
        <v>May</v>
      </c>
      <c r="E26" s="10">
        <v>43257</v>
      </c>
      <c r="F26" s="7" t="str">
        <f t="shared" si="2"/>
        <v>Jun</v>
      </c>
      <c r="G26" s="8" t="s">
        <v>17</v>
      </c>
      <c r="H26" s="8" t="s">
        <v>225</v>
      </c>
      <c r="I26" s="8" t="s">
        <v>155</v>
      </c>
      <c r="J26" s="8" t="s">
        <v>226</v>
      </c>
      <c r="K26" s="8" t="s">
        <v>20</v>
      </c>
      <c r="L26" s="8" t="s">
        <v>227</v>
      </c>
      <c r="M26" s="8" t="s">
        <v>228</v>
      </c>
      <c r="N26" s="8" t="s">
        <v>229</v>
      </c>
      <c r="O26" s="8"/>
      <c r="P26" s="8"/>
      <c r="Q26" s="8" t="s">
        <v>230</v>
      </c>
      <c r="R26" s="8"/>
      <c r="S26" s="8" t="s">
        <v>231</v>
      </c>
      <c r="T26" s="6" t="str">
        <f t="shared" si="3"/>
        <v>No Progress</v>
      </c>
      <c r="U26" s="8" t="s">
        <v>232</v>
      </c>
      <c r="V26" t="str">
        <f t="shared" si="4"/>
        <v>startupjobs.asia</v>
      </c>
      <c r="W26" t="s">
        <v>233</v>
      </c>
      <c r="X26" t="str">
        <f t="shared" si="5"/>
        <v>Neutral</v>
      </c>
    </row>
    <row r="27" spans="1:24" x14ac:dyDescent="0.3">
      <c r="A27" s="6">
        <v>26</v>
      </c>
      <c r="B27" s="24" t="s">
        <v>190</v>
      </c>
      <c r="C27" s="7" t="str">
        <f t="shared" si="0"/>
        <v>2018</v>
      </c>
      <c r="D27" s="7" t="str">
        <f t="shared" si="1"/>
        <v>May</v>
      </c>
      <c r="E27" s="25">
        <v>43257</v>
      </c>
      <c r="F27" s="7" t="str">
        <f t="shared" si="2"/>
        <v>Jun</v>
      </c>
      <c r="G27" s="24" t="s">
        <v>93</v>
      </c>
      <c r="H27" s="24" t="s">
        <v>234</v>
      </c>
      <c r="I27" s="24" t="s">
        <v>119</v>
      </c>
      <c r="J27" s="24" t="s">
        <v>235</v>
      </c>
      <c r="K27" s="24" t="s">
        <v>20</v>
      </c>
      <c r="L27" s="24" t="s">
        <v>236</v>
      </c>
      <c r="M27" s="24" t="s">
        <v>237</v>
      </c>
      <c r="N27" s="24" t="s">
        <v>238</v>
      </c>
      <c r="O27" s="24"/>
      <c r="P27" s="24"/>
      <c r="Q27" s="24"/>
      <c r="R27" s="24"/>
      <c r="S27" s="24" t="s">
        <v>239</v>
      </c>
      <c r="T27" s="6" t="str">
        <f t="shared" si="3"/>
        <v>No Progress</v>
      </c>
      <c r="U27" s="24" t="s">
        <v>240</v>
      </c>
      <c r="V27" t="str">
        <f t="shared" si="4"/>
        <v>startupjobs.asia</v>
      </c>
      <c r="W27" t="s">
        <v>241</v>
      </c>
      <c r="X27" t="str">
        <f t="shared" si="5"/>
        <v>Neutral</v>
      </c>
    </row>
    <row r="28" spans="1:24" x14ac:dyDescent="0.3">
      <c r="A28" s="6">
        <v>27</v>
      </c>
      <c r="B28" s="8" t="s">
        <v>190</v>
      </c>
      <c r="C28" s="7" t="str">
        <f t="shared" si="0"/>
        <v>2018</v>
      </c>
      <c r="D28" s="7" t="str">
        <f t="shared" si="1"/>
        <v>May</v>
      </c>
      <c r="E28" s="10">
        <v>43257</v>
      </c>
      <c r="F28" s="7" t="str">
        <f t="shared" si="2"/>
        <v>Jun</v>
      </c>
      <c r="G28" s="8" t="s">
        <v>32</v>
      </c>
      <c r="H28" s="8" t="s">
        <v>242</v>
      </c>
      <c r="I28" s="8" t="s">
        <v>243</v>
      </c>
      <c r="J28" s="8" t="s">
        <v>244</v>
      </c>
      <c r="K28" s="8" t="s">
        <v>20</v>
      </c>
      <c r="L28" s="8" t="s">
        <v>245</v>
      </c>
      <c r="M28" s="8"/>
      <c r="N28" s="8" t="s">
        <v>246</v>
      </c>
      <c r="O28" s="8"/>
      <c r="P28" s="8"/>
      <c r="Q28" s="8" t="s">
        <v>247</v>
      </c>
      <c r="R28" s="8"/>
      <c r="S28" s="8" t="s">
        <v>248</v>
      </c>
      <c r="T28" s="6" t="str">
        <f t="shared" si="3"/>
        <v>No Progress</v>
      </c>
      <c r="U28" s="8" t="s">
        <v>249</v>
      </c>
      <c r="V28" t="str">
        <f t="shared" si="4"/>
        <v>startupjobs.asia</v>
      </c>
      <c r="W28" s="8" t="s">
        <v>250</v>
      </c>
      <c r="X28" t="str">
        <f t="shared" si="5"/>
        <v>Neutral</v>
      </c>
    </row>
    <row r="29" spans="1:24" x14ac:dyDescent="0.3">
      <c r="A29" s="6">
        <v>28</v>
      </c>
      <c r="B29" s="60" t="s">
        <v>190</v>
      </c>
      <c r="C29" s="7" t="str">
        <f t="shared" si="0"/>
        <v>2018</v>
      </c>
      <c r="D29" s="7" t="str">
        <f t="shared" si="1"/>
        <v>May</v>
      </c>
      <c r="E29" s="61">
        <v>43255</v>
      </c>
      <c r="F29" s="7" t="str">
        <f t="shared" si="2"/>
        <v>Jun</v>
      </c>
      <c r="G29" s="60" t="s">
        <v>17</v>
      </c>
      <c r="H29" s="60" t="s">
        <v>251</v>
      </c>
      <c r="I29" s="60" t="s">
        <v>215</v>
      </c>
      <c r="J29" s="60" t="s">
        <v>252</v>
      </c>
      <c r="K29" s="60" t="s">
        <v>20</v>
      </c>
      <c r="L29" s="60" t="s">
        <v>253</v>
      </c>
      <c r="M29" s="60" t="s">
        <v>254</v>
      </c>
      <c r="N29" s="60" t="s">
        <v>255</v>
      </c>
      <c r="O29" s="60"/>
      <c r="P29" s="60"/>
      <c r="Q29" s="60"/>
      <c r="R29" s="60"/>
      <c r="S29" s="60" t="s">
        <v>256</v>
      </c>
      <c r="T29" s="6" t="str">
        <f t="shared" si="3"/>
        <v>Hot</v>
      </c>
      <c r="U29" s="60" t="s">
        <v>257</v>
      </c>
      <c r="V29" t="str">
        <f t="shared" si="4"/>
        <v>startupjobs.asia</v>
      </c>
      <c r="W29" s="60" t="s">
        <v>258</v>
      </c>
      <c r="X29" t="str">
        <f t="shared" si="5"/>
        <v>Positive</v>
      </c>
    </row>
    <row r="30" spans="1:24" x14ac:dyDescent="0.3">
      <c r="A30" s="6">
        <v>29</v>
      </c>
      <c r="B30" s="8" t="s">
        <v>190</v>
      </c>
      <c r="C30" s="7" t="str">
        <f t="shared" si="0"/>
        <v>2018</v>
      </c>
      <c r="D30" s="7" t="str">
        <f t="shared" si="1"/>
        <v>May</v>
      </c>
      <c r="E30" s="10">
        <v>43257</v>
      </c>
      <c r="F30" s="7" t="str">
        <f t="shared" si="2"/>
        <v>Jun</v>
      </c>
      <c r="G30" s="8" t="s">
        <v>32</v>
      </c>
      <c r="H30" s="8" t="s">
        <v>259</v>
      </c>
      <c r="I30" s="8" t="s">
        <v>155</v>
      </c>
      <c r="J30" s="8" t="s">
        <v>260</v>
      </c>
      <c r="K30" s="8" t="s">
        <v>20</v>
      </c>
      <c r="L30" s="8" t="s">
        <v>261</v>
      </c>
      <c r="M30" s="8"/>
      <c r="N30" s="8" t="s">
        <v>262</v>
      </c>
      <c r="O30" s="8"/>
      <c r="P30" s="8"/>
      <c r="Q30" s="8" t="s">
        <v>263</v>
      </c>
      <c r="R30" s="8"/>
      <c r="S30" s="8" t="s">
        <v>264</v>
      </c>
      <c r="T30" s="6" t="str">
        <f t="shared" si="3"/>
        <v>No Progress</v>
      </c>
      <c r="U30" s="8" t="s">
        <v>265</v>
      </c>
      <c r="V30" t="str">
        <f t="shared" si="4"/>
        <v>startupjobs.asia</v>
      </c>
      <c r="W30" s="8" t="s">
        <v>266</v>
      </c>
      <c r="X30" t="str">
        <f t="shared" si="5"/>
        <v>Neutral</v>
      </c>
    </row>
    <row r="31" spans="1:24" x14ac:dyDescent="0.3">
      <c r="A31" s="6">
        <v>30</v>
      </c>
      <c r="B31" s="11" t="s">
        <v>190</v>
      </c>
      <c r="C31" s="7" t="str">
        <f t="shared" si="0"/>
        <v>2018</v>
      </c>
      <c r="D31" s="7" t="str">
        <f t="shared" si="1"/>
        <v>May</v>
      </c>
      <c r="E31" s="11" t="s">
        <v>190</v>
      </c>
      <c r="F31" s="7" t="str">
        <f t="shared" si="2"/>
        <v>May</v>
      </c>
      <c r="G31" s="11" t="s">
        <v>32</v>
      </c>
      <c r="H31" s="11" t="s">
        <v>267</v>
      </c>
      <c r="I31" s="11" t="s">
        <v>155</v>
      </c>
      <c r="J31" s="11" t="s">
        <v>268</v>
      </c>
      <c r="K31" s="11" t="s">
        <v>20</v>
      </c>
      <c r="L31" s="11" t="s">
        <v>269</v>
      </c>
      <c r="M31" s="11" t="s">
        <v>270</v>
      </c>
      <c r="N31" s="11"/>
      <c r="O31" s="11"/>
      <c r="P31" s="11"/>
      <c r="Q31" s="11"/>
      <c r="R31" s="11"/>
      <c r="S31" s="11" t="s">
        <v>271</v>
      </c>
      <c r="T31" s="6" t="str">
        <f t="shared" si="3"/>
        <v>Cold</v>
      </c>
      <c r="U31" s="11" t="s">
        <v>272</v>
      </c>
      <c r="V31" t="str">
        <f t="shared" si="4"/>
        <v>www.techinasia.com</v>
      </c>
      <c r="W31" s="11" t="s">
        <v>273</v>
      </c>
      <c r="X31" t="str">
        <f t="shared" si="5"/>
        <v>Neutral</v>
      </c>
    </row>
    <row r="32" spans="1:24" x14ac:dyDescent="0.3">
      <c r="A32" s="6">
        <v>31</v>
      </c>
      <c r="B32" s="8" t="s">
        <v>190</v>
      </c>
      <c r="C32" s="7" t="str">
        <f t="shared" si="0"/>
        <v>2018</v>
      </c>
      <c r="D32" s="7" t="str">
        <f t="shared" si="1"/>
        <v>May</v>
      </c>
      <c r="E32" s="10">
        <v>43257</v>
      </c>
      <c r="F32" s="7" t="str">
        <f t="shared" si="2"/>
        <v>Jun</v>
      </c>
      <c r="G32" s="8" t="s">
        <v>93</v>
      </c>
      <c r="H32" s="8" t="s">
        <v>274</v>
      </c>
      <c r="I32" s="8" t="s">
        <v>155</v>
      </c>
      <c r="J32" s="8" t="s">
        <v>275</v>
      </c>
      <c r="K32" s="8" t="s">
        <v>20</v>
      </c>
      <c r="L32" s="8" t="s">
        <v>276</v>
      </c>
      <c r="M32" s="8" t="s">
        <v>277</v>
      </c>
      <c r="N32" s="8" t="s">
        <v>278</v>
      </c>
      <c r="O32" s="8"/>
      <c r="P32" s="8"/>
      <c r="Q32" s="8"/>
      <c r="R32" s="8"/>
      <c r="S32" s="8" t="s">
        <v>279</v>
      </c>
      <c r="T32" s="6" t="str">
        <f t="shared" si="3"/>
        <v>No Progress</v>
      </c>
      <c r="U32" s="8" t="s">
        <v>280</v>
      </c>
      <c r="V32" t="str">
        <f t="shared" si="4"/>
        <v>www.techinasia.com</v>
      </c>
      <c r="W32" s="8" t="s">
        <v>281</v>
      </c>
      <c r="X32" t="str">
        <f t="shared" si="5"/>
        <v>Neutral</v>
      </c>
    </row>
    <row r="33" spans="1:24" x14ac:dyDescent="0.3">
      <c r="A33" s="6">
        <v>32</v>
      </c>
      <c r="B33" s="11" t="s">
        <v>190</v>
      </c>
      <c r="C33" s="7" t="str">
        <f t="shared" si="0"/>
        <v>2018</v>
      </c>
      <c r="D33" s="7" t="str">
        <f t="shared" si="1"/>
        <v>May</v>
      </c>
      <c r="E33" s="11" t="s">
        <v>190</v>
      </c>
      <c r="F33" s="7" t="str">
        <f t="shared" si="2"/>
        <v>May</v>
      </c>
      <c r="G33" s="11" t="s">
        <v>76</v>
      </c>
      <c r="H33" s="11" t="s">
        <v>282</v>
      </c>
      <c r="I33" s="11" t="s">
        <v>155</v>
      </c>
      <c r="J33" s="11" t="s">
        <v>283</v>
      </c>
      <c r="K33" s="11" t="s">
        <v>20</v>
      </c>
      <c r="L33" s="11" t="s">
        <v>284</v>
      </c>
      <c r="M33" s="11" t="s">
        <v>285</v>
      </c>
      <c r="N33" s="11"/>
      <c r="O33" s="11"/>
      <c r="P33" s="11"/>
      <c r="Q33" s="11" t="s">
        <v>286</v>
      </c>
      <c r="R33" s="11"/>
      <c r="S33" s="11" t="s">
        <v>287</v>
      </c>
      <c r="T33" s="6" t="str">
        <f t="shared" si="3"/>
        <v>Cold</v>
      </c>
      <c r="U33" s="11" t="s">
        <v>288</v>
      </c>
      <c r="V33" t="str">
        <f t="shared" si="4"/>
        <v>www.f6s.com</v>
      </c>
      <c r="W33" s="11" t="s">
        <v>289</v>
      </c>
      <c r="X33" t="str">
        <f t="shared" si="5"/>
        <v>Neutral</v>
      </c>
    </row>
    <row r="34" spans="1:24" x14ac:dyDescent="0.3">
      <c r="A34" s="6">
        <v>33</v>
      </c>
      <c r="B34" s="17">
        <v>43249</v>
      </c>
      <c r="C34" s="7" t="str">
        <f t="shared" si="0"/>
        <v>2018</v>
      </c>
      <c r="D34" s="7" t="str">
        <f t="shared" si="1"/>
        <v>May</v>
      </c>
      <c r="E34" s="17">
        <v>43257</v>
      </c>
      <c r="F34" s="7" t="str">
        <f t="shared" si="2"/>
        <v>Jun</v>
      </c>
      <c r="G34" s="16" t="s">
        <v>32</v>
      </c>
      <c r="H34" s="16" t="s">
        <v>290</v>
      </c>
      <c r="I34" s="16" t="s">
        <v>291</v>
      </c>
      <c r="J34" s="16" t="s">
        <v>292</v>
      </c>
      <c r="K34" s="16" t="s">
        <v>20</v>
      </c>
      <c r="L34" s="26" t="s">
        <v>293</v>
      </c>
      <c r="M34" s="16" t="s">
        <v>294</v>
      </c>
      <c r="N34" s="16" t="s">
        <v>295</v>
      </c>
      <c r="O34" s="16"/>
      <c r="P34" s="16"/>
      <c r="Q34" s="16" t="s">
        <v>296</v>
      </c>
      <c r="R34" s="16"/>
      <c r="S34" s="16" t="s">
        <v>297</v>
      </c>
      <c r="T34" s="6" t="str">
        <f t="shared" si="3"/>
        <v>Warm</v>
      </c>
      <c r="U34" s="16" t="s">
        <v>298</v>
      </c>
      <c r="V34" t="str">
        <f t="shared" si="4"/>
        <v>startupjobs.asia</v>
      </c>
      <c r="W34" s="16" t="s">
        <v>299</v>
      </c>
      <c r="X34" t="str">
        <f t="shared" si="5"/>
        <v>Positive</v>
      </c>
    </row>
    <row r="35" spans="1:24" x14ac:dyDescent="0.3">
      <c r="A35" s="6">
        <v>34</v>
      </c>
      <c r="B35" s="10">
        <v>43249</v>
      </c>
      <c r="C35" s="7" t="str">
        <f t="shared" si="0"/>
        <v>2018</v>
      </c>
      <c r="D35" s="7" t="str">
        <f t="shared" si="1"/>
        <v>May</v>
      </c>
      <c r="E35" s="10">
        <v>43257</v>
      </c>
      <c r="F35" s="7" t="str">
        <f t="shared" si="2"/>
        <v>Jun</v>
      </c>
      <c r="G35" s="8" t="s">
        <v>32</v>
      </c>
      <c r="H35" s="27" t="s">
        <v>300</v>
      </c>
      <c r="I35" s="27" t="s">
        <v>204</v>
      </c>
      <c r="J35" s="8" t="s">
        <v>301</v>
      </c>
      <c r="K35" s="27" t="s">
        <v>302</v>
      </c>
      <c r="L35" s="27" t="s">
        <v>303</v>
      </c>
      <c r="M35" s="27" t="s">
        <v>304</v>
      </c>
      <c r="N35" s="8" t="s">
        <v>305</v>
      </c>
      <c r="O35" s="8"/>
      <c r="P35" s="8"/>
      <c r="Q35" s="8" t="s">
        <v>306</v>
      </c>
      <c r="R35" s="8"/>
      <c r="S35" s="8" t="s">
        <v>307</v>
      </c>
      <c r="T35" s="6" t="str">
        <f t="shared" si="3"/>
        <v>No Progress</v>
      </c>
      <c r="U35" s="8" t="s">
        <v>308</v>
      </c>
      <c r="V35" t="str">
        <f t="shared" si="4"/>
        <v>startupjobs.asia</v>
      </c>
      <c r="W35" s="8" t="s">
        <v>309</v>
      </c>
      <c r="X35" t="str">
        <f t="shared" si="5"/>
        <v>Negative</v>
      </c>
    </row>
    <row r="36" spans="1:24" x14ac:dyDescent="0.3">
      <c r="A36" s="6">
        <v>35</v>
      </c>
      <c r="B36" s="17">
        <v>43250</v>
      </c>
      <c r="C36" s="7" t="str">
        <f t="shared" si="0"/>
        <v>2018</v>
      </c>
      <c r="D36" s="7" t="str">
        <f t="shared" si="1"/>
        <v>May</v>
      </c>
      <c r="E36" s="17">
        <v>43251</v>
      </c>
      <c r="F36" s="7" t="str">
        <f t="shared" si="2"/>
        <v>May</v>
      </c>
      <c r="G36" s="16" t="s">
        <v>17</v>
      </c>
      <c r="H36" s="16" t="s">
        <v>310</v>
      </c>
      <c r="I36" s="16" t="s">
        <v>311</v>
      </c>
      <c r="J36" s="16" t="s">
        <v>312</v>
      </c>
      <c r="K36" s="16" t="s">
        <v>20</v>
      </c>
      <c r="L36" s="16" t="s">
        <v>313</v>
      </c>
      <c r="M36" s="16" t="s">
        <v>314</v>
      </c>
      <c r="N36" s="16" t="s">
        <v>315</v>
      </c>
      <c r="O36" s="16"/>
      <c r="P36" s="16"/>
      <c r="Q36" s="16" t="s">
        <v>316</v>
      </c>
      <c r="R36" s="16"/>
      <c r="S36" s="16" t="s">
        <v>317</v>
      </c>
      <c r="T36" s="6" t="str">
        <f t="shared" si="3"/>
        <v>Warm</v>
      </c>
      <c r="U36" s="16" t="s">
        <v>318</v>
      </c>
      <c r="V36" t="str">
        <f t="shared" si="4"/>
        <v>startupjobs.asia</v>
      </c>
      <c r="W36" s="16" t="s">
        <v>319</v>
      </c>
      <c r="X36" t="str">
        <f t="shared" si="5"/>
        <v>Neutral</v>
      </c>
    </row>
    <row r="37" spans="1:24" x14ac:dyDescent="0.3">
      <c r="A37" s="6">
        <v>36</v>
      </c>
      <c r="B37" s="13">
        <v>43250</v>
      </c>
      <c r="C37" s="7" t="str">
        <f t="shared" si="0"/>
        <v>2018</v>
      </c>
      <c r="D37" s="7" t="str">
        <f t="shared" si="1"/>
        <v>May</v>
      </c>
      <c r="E37" s="13">
        <v>43251</v>
      </c>
      <c r="F37" s="7" t="str">
        <f t="shared" si="2"/>
        <v>May</v>
      </c>
      <c r="G37" s="11" t="s">
        <v>17</v>
      </c>
      <c r="H37" s="11" t="s">
        <v>320</v>
      </c>
      <c r="I37" s="11" t="s">
        <v>155</v>
      </c>
      <c r="J37" s="11" t="s">
        <v>321</v>
      </c>
      <c r="K37" s="11" t="s">
        <v>20</v>
      </c>
      <c r="L37" s="11" t="s">
        <v>322</v>
      </c>
      <c r="M37" s="11" t="s">
        <v>323</v>
      </c>
      <c r="N37" s="11" t="s">
        <v>324</v>
      </c>
      <c r="O37" s="11"/>
      <c r="P37" s="11"/>
      <c r="Q37" s="11" t="s">
        <v>325</v>
      </c>
      <c r="R37" s="11"/>
      <c r="S37" s="11" t="s">
        <v>326</v>
      </c>
      <c r="T37" s="6" t="str">
        <f t="shared" si="3"/>
        <v>Cold</v>
      </c>
      <c r="U37" s="11" t="s">
        <v>327</v>
      </c>
      <c r="V37" t="str">
        <f t="shared" si="4"/>
        <v>startupjobs.asia</v>
      </c>
      <c r="W37" s="11" t="s">
        <v>328</v>
      </c>
      <c r="X37" t="str">
        <f t="shared" si="5"/>
        <v>Negative</v>
      </c>
    </row>
    <row r="38" spans="1:24" x14ac:dyDescent="0.3">
      <c r="A38" s="6">
        <v>37</v>
      </c>
      <c r="B38" s="29">
        <v>43250</v>
      </c>
      <c r="C38" s="7" t="str">
        <f t="shared" si="0"/>
        <v>2018</v>
      </c>
      <c r="D38" s="7" t="str">
        <f t="shared" si="1"/>
        <v>May</v>
      </c>
      <c r="E38" s="29">
        <v>43251</v>
      </c>
      <c r="F38" s="7" t="str">
        <f t="shared" si="2"/>
        <v>May</v>
      </c>
      <c r="G38" s="28" t="s">
        <v>17</v>
      </c>
      <c r="H38" s="28" t="s">
        <v>329</v>
      </c>
      <c r="I38" s="28" t="s">
        <v>330</v>
      </c>
      <c r="J38" s="30" t="s">
        <v>331</v>
      </c>
      <c r="K38" s="28" t="s">
        <v>20</v>
      </c>
      <c r="L38" s="28" t="s">
        <v>332</v>
      </c>
      <c r="M38" s="28" t="s">
        <v>333</v>
      </c>
      <c r="N38" s="30" t="s">
        <v>334</v>
      </c>
      <c r="O38" s="28"/>
      <c r="P38" s="28"/>
      <c r="Q38" s="28"/>
      <c r="R38" s="28"/>
      <c r="S38" s="28" t="s">
        <v>335</v>
      </c>
      <c r="T38" s="6" t="str">
        <f t="shared" si="3"/>
        <v>Cold</v>
      </c>
      <c r="U38" s="30" t="s">
        <v>336</v>
      </c>
      <c r="V38" t="str">
        <f t="shared" si="4"/>
        <v>startupjobs.asia</v>
      </c>
      <c r="W38" s="30" t="s">
        <v>337</v>
      </c>
      <c r="X38" t="str">
        <f t="shared" si="5"/>
        <v>Positive</v>
      </c>
    </row>
    <row r="39" spans="1:24" x14ac:dyDescent="0.3">
      <c r="A39" s="6">
        <v>38</v>
      </c>
      <c r="B39" s="10">
        <v>43251</v>
      </c>
      <c r="C39" s="7" t="str">
        <f t="shared" si="0"/>
        <v>2018</v>
      </c>
      <c r="D39" s="7" t="str">
        <f t="shared" si="1"/>
        <v>May</v>
      </c>
      <c r="E39" s="10">
        <v>43257</v>
      </c>
      <c r="F39" s="7" t="str">
        <f t="shared" si="2"/>
        <v>Jun</v>
      </c>
      <c r="G39" s="8" t="s">
        <v>17</v>
      </c>
      <c r="H39" s="8" t="s">
        <v>338</v>
      </c>
      <c r="I39" s="8" t="s">
        <v>339</v>
      </c>
      <c r="J39" s="8" t="s">
        <v>340</v>
      </c>
      <c r="K39" s="8" t="s">
        <v>20</v>
      </c>
      <c r="L39" s="8" t="s">
        <v>341</v>
      </c>
      <c r="M39" s="8"/>
      <c r="N39" s="8" t="s">
        <v>342</v>
      </c>
      <c r="O39" s="8"/>
      <c r="P39" s="8"/>
      <c r="Q39" s="8"/>
      <c r="R39" s="8"/>
      <c r="S39" s="8" t="s">
        <v>343</v>
      </c>
      <c r="T39" s="6" t="str">
        <f t="shared" si="3"/>
        <v>No Progress</v>
      </c>
      <c r="U39" s="8" t="s">
        <v>344</v>
      </c>
      <c r="V39" t="str">
        <f t="shared" si="4"/>
        <v>startupjobs.asia</v>
      </c>
      <c r="W39" s="8" t="s">
        <v>345</v>
      </c>
      <c r="X39" t="str">
        <f t="shared" si="5"/>
        <v>Neutral</v>
      </c>
    </row>
    <row r="40" spans="1:24" x14ac:dyDescent="0.3">
      <c r="A40" s="6">
        <v>39</v>
      </c>
      <c r="B40" s="10">
        <v>43251</v>
      </c>
      <c r="C40" s="7" t="str">
        <f t="shared" si="0"/>
        <v>2018</v>
      </c>
      <c r="D40" s="7" t="str">
        <f t="shared" si="1"/>
        <v>May</v>
      </c>
      <c r="E40" s="10">
        <v>43257</v>
      </c>
      <c r="F40" s="7" t="str">
        <f t="shared" si="2"/>
        <v>Jun</v>
      </c>
      <c r="G40" s="8" t="s">
        <v>93</v>
      </c>
      <c r="H40" s="8" t="s">
        <v>346</v>
      </c>
      <c r="I40" s="8" t="s">
        <v>347</v>
      </c>
      <c r="J40" s="8" t="s">
        <v>348</v>
      </c>
      <c r="K40" s="8" t="s">
        <v>20</v>
      </c>
      <c r="L40" s="8" t="s">
        <v>349</v>
      </c>
      <c r="M40" s="8"/>
      <c r="N40" s="8" t="s">
        <v>350</v>
      </c>
      <c r="O40" s="8"/>
      <c r="P40" s="8"/>
      <c r="Q40" s="8" t="s">
        <v>351</v>
      </c>
      <c r="R40" s="8"/>
      <c r="S40" s="8" t="s">
        <v>343</v>
      </c>
      <c r="T40" s="6" t="str">
        <f t="shared" si="3"/>
        <v>No Progress</v>
      </c>
      <c r="U40" s="8" t="s">
        <v>352</v>
      </c>
      <c r="V40" t="str">
        <f t="shared" si="4"/>
        <v>startupjobs.asia</v>
      </c>
      <c r="W40" s="8" t="s">
        <v>353</v>
      </c>
      <c r="X40" t="str">
        <f t="shared" si="5"/>
        <v>Neutral</v>
      </c>
    </row>
    <row r="41" spans="1:24" x14ac:dyDescent="0.3">
      <c r="A41" s="6">
        <v>40</v>
      </c>
      <c r="B41" s="10">
        <v>43251</v>
      </c>
      <c r="C41" s="7" t="str">
        <f t="shared" si="0"/>
        <v>2018</v>
      </c>
      <c r="D41" s="7" t="str">
        <f t="shared" si="1"/>
        <v>May</v>
      </c>
      <c r="E41" s="10">
        <v>43257</v>
      </c>
      <c r="F41" s="7" t="str">
        <f t="shared" si="2"/>
        <v>Jun</v>
      </c>
      <c r="G41" s="8" t="s">
        <v>93</v>
      </c>
      <c r="H41" s="8" t="s">
        <v>354</v>
      </c>
      <c r="I41" s="8" t="s">
        <v>119</v>
      </c>
      <c r="J41" s="8" t="s">
        <v>355</v>
      </c>
      <c r="K41" s="8" t="s">
        <v>20</v>
      </c>
      <c r="L41" s="8" t="s">
        <v>356</v>
      </c>
      <c r="M41" s="8"/>
      <c r="N41" s="8" t="s">
        <v>357</v>
      </c>
      <c r="O41" s="8"/>
      <c r="P41" s="8"/>
      <c r="Q41" s="8" t="s">
        <v>358</v>
      </c>
      <c r="R41" s="8"/>
      <c r="S41" s="8" t="s">
        <v>343</v>
      </c>
      <c r="T41" s="6" t="str">
        <f t="shared" si="3"/>
        <v>No Progress</v>
      </c>
      <c r="U41" s="8" t="s">
        <v>359</v>
      </c>
      <c r="V41" t="str">
        <f t="shared" si="4"/>
        <v>www.techinasia.com</v>
      </c>
      <c r="W41" s="8" t="s">
        <v>360</v>
      </c>
      <c r="X41" t="str">
        <f t="shared" si="5"/>
        <v>Neutral</v>
      </c>
    </row>
    <row r="42" spans="1:24" x14ac:dyDescent="0.3">
      <c r="A42" s="6">
        <v>41</v>
      </c>
      <c r="B42" s="17">
        <v>43251</v>
      </c>
      <c r="C42" s="7" t="str">
        <f t="shared" si="0"/>
        <v>2018</v>
      </c>
      <c r="D42" s="7" t="str">
        <f t="shared" si="1"/>
        <v>May</v>
      </c>
      <c r="E42" s="17">
        <v>43257</v>
      </c>
      <c r="F42" s="7" t="str">
        <f t="shared" si="2"/>
        <v>Jun</v>
      </c>
      <c r="G42" s="16" t="s">
        <v>32</v>
      </c>
      <c r="H42" s="16" t="s">
        <v>361</v>
      </c>
      <c r="I42" s="16" t="s">
        <v>155</v>
      </c>
      <c r="J42" s="16" t="s">
        <v>362</v>
      </c>
      <c r="K42" s="16" t="s">
        <v>20</v>
      </c>
      <c r="L42" s="16" t="s">
        <v>363</v>
      </c>
      <c r="M42" s="16"/>
      <c r="N42" s="16" t="s">
        <v>364</v>
      </c>
      <c r="O42" s="16"/>
      <c r="P42" s="16"/>
      <c r="Q42" s="16" t="s">
        <v>365</v>
      </c>
      <c r="R42" s="16"/>
      <c r="S42" s="16" t="s">
        <v>366</v>
      </c>
      <c r="T42" s="6" t="str">
        <f t="shared" si="3"/>
        <v>Warm</v>
      </c>
      <c r="U42" s="16" t="s">
        <v>367</v>
      </c>
      <c r="V42" t="str">
        <f t="shared" si="4"/>
        <v>www.techinasia.com</v>
      </c>
      <c r="W42" s="16" t="s">
        <v>368</v>
      </c>
      <c r="X42" t="str">
        <f t="shared" si="5"/>
        <v>Neutral</v>
      </c>
    </row>
    <row r="43" spans="1:24" x14ac:dyDescent="0.3">
      <c r="A43" s="6">
        <v>42</v>
      </c>
      <c r="B43" s="31">
        <v>43251</v>
      </c>
      <c r="C43" s="7" t="str">
        <f t="shared" si="0"/>
        <v>2018</v>
      </c>
      <c r="D43" s="7" t="str">
        <f t="shared" si="1"/>
        <v>May</v>
      </c>
      <c r="E43" s="31">
        <v>43270</v>
      </c>
      <c r="F43" s="7" t="str">
        <f t="shared" si="2"/>
        <v>Jun</v>
      </c>
      <c r="G43" s="27" t="s">
        <v>17</v>
      </c>
      <c r="H43" s="27" t="s">
        <v>369</v>
      </c>
      <c r="I43" s="27" t="s">
        <v>155</v>
      </c>
      <c r="J43" s="27" t="s">
        <v>370</v>
      </c>
      <c r="K43" s="27" t="s">
        <v>20</v>
      </c>
      <c r="L43" s="27" t="s">
        <v>371</v>
      </c>
      <c r="M43" s="27" t="s">
        <v>372</v>
      </c>
      <c r="N43" s="27" t="s">
        <v>373</v>
      </c>
      <c r="O43" s="27"/>
      <c r="P43" s="27"/>
      <c r="Q43" s="27" t="s">
        <v>374</v>
      </c>
      <c r="R43" s="27"/>
      <c r="S43" s="27" t="s">
        <v>375</v>
      </c>
      <c r="T43" s="6" t="str">
        <f t="shared" si="3"/>
        <v>No Progress</v>
      </c>
      <c r="U43" s="27" t="s">
        <v>376</v>
      </c>
      <c r="V43" t="str">
        <f t="shared" si="4"/>
        <v>www.techinasia.com</v>
      </c>
      <c r="W43" s="27" t="s">
        <v>377</v>
      </c>
      <c r="X43" t="str">
        <f t="shared" si="5"/>
        <v>Negative</v>
      </c>
    </row>
    <row r="44" spans="1:24" x14ac:dyDescent="0.3">
      <c r="A44" s="6">
        <v>43</v>
      </c>
      <c r="B44" s="17">
        <v>43251</v>
      </c>
      <c r="C44" s="7" t="str">
        <f t="shared" si="0"/>
        <v>2018</v>
      </c>
      <c r="D44" s="7" t="str">
        <f t="shared" si="1"/>
        <v>May</v>
      </c>
      <c r="E44" s="17">
        <v>43251</v>
      </c>
      <c r="F44" s="7" t="str">
        <f t="shared" si="2"/>
        <v>May</v>
      </c>
      <c r="G44" s="16" t="s">
        <v>26</v>
      </c>
      <c r="H44" s="16" t="s">
        <v>378</v>
      </c>
      <c r="I44" s="16" t="s">
        <v>379</v>
      </c>
      <c r="J44" s="16" t="s">
        <v>380</v>
      </c>
      <c r="K44" s="16" t="s">
        <v>20</v>
      </c>
      <c r="L44" s="16" t="s">
        <v>381</v>
      </c>
      <c r="M44" s="16"/>
      <c r="N44" s="16" t="s">
        <v>382</v>
      </c>
      <c r="O44" s="16"/>
      <c r="P44" s="16"/>
      <c r="Q44" s="16" t="s">
        <v>383</v>
      </c>
      <c r="R44" s="16"/>
      <c r="S44" s="16" t="s">
        <v>384</v>
      </c>
      <c r="T44" s="6" t="str">
        <f t="shared" si="3"/>
        <v>Warm</v>
      </c>
      <c r="U44" s="16" t="s">
        <v>385</v>
      </c>
      <c r="V44" t="str">
        <f t="shared" si="4"/>
        <v>www.techinasia.com</v>
      </c>
      <c r="W44" s="16" t="s">
        <v>386</v>
      </c>
      <c r="X44" t="str">
        <f t="shared" si="5"/>
        <v>Neutral</v>
      </c>
    </row>
    <row r="45" spans="1:24" x14ac:dyDescent="0.3">
      <c r="A45" s="6">
        <v>44</v>
      </c>
      <c r="B45" s="10">
        <v>43251</v>
      </c>
      <c r="C45" s="7" t="str">
        <f t="shared" si="0"/>
        <v>2018</v>
      </c>
      <c r="D45" s="7" t="str">
        <f t="shared" si="1"/>
        <v>May</v>
      </c>
      <c r="E45" s="10">
        <v>43270</v>
      </c>
      <c r="F45" s="7" t="str">
        <f t="shared" si="2"/>
        <v>Jun</v>
      </c>
      <c r="G45" s="8" t="s">
        <v>213</v>
      </c>
      <c r="H45" s="8" t="s">
        <v>387</v>
      </c>
      <c r="I45" s="8" t="s">
        <v>388</v>
      </c>
      <c r="J45" s="8" t="s">
        <v>389</v>
      </c>
      <c r="K45" s="8" t="s">
        <v>20</v>
      </c>
      <c r="L45" s="8" t="s">
        <v>390</v>
      </c>
      <c r="M45" s="8" t="s">
        <v>391</v>
      </c>
      <c r="N45" s="8" t="s">
        <v>392</v>
      </c>
      <c r="O45" s="8"/>
      <c r="P45" s="8"/>
      <c r="Q45" s="8"/>
      <c r="R45" s="8"/>
      <c r="S45" s="8" t="s">
        <v>393</v>
      </c>
      <c r="T45" s="6" t="str">
        <f t="shared" si="3"/>
        <v>No Progress</v>
      </c>
      <c r="U45" s="8" t="s">
        <v>394</v>
      </c>
      <c r="V45" t="str">
        <f t="shared" si="4"/>
        <v>www.techinasia.com</v>
      </c>
      <c r="W45" s="8" t="s">
        <v>395</v>
      </c>
      <c r="X45" t="str">
        <f t="shared" si="5"/>
        <v>Negative</v>
      </c>
    </row>
    <row r="46" spans="1:24" x14ac:dyDescent="0.3">
      <c r="A46" s="6">
        <v>45</v>
      </c>
      <c r="B46" s="10">
        <v>43251</v>
      </c>
      <c r="C46" s="7" t="str">
        <f t="shared" si="0"/>
        <v>2018</v>
      </c>
      <c r="D46" s="7" t="str">
        <f t="shared" si="1"/>
        <v>May</v>
      </c>
      <c r="E46" s="10">
        <v>43270</v>
      </c>
      <c r="F46" s="7" t="str">
        <f t="shared" si="2"/>
        <v>Jun</v>
      </c>
      <c r="G46" s="8" t="s">
        <v>32</v>
      </c>
      <c r="H46" s="8" t="s">
        <v>396</v>
      </c>
      <c r="I46" s="8" t="s">
        <v>34</v>
      </c>
      <c r="J46" s="8" t="s">
        <v>397</v>
      </c>
      <c r="K46" s="8" t="s">
        <v>20</v>
      </c>
      <c r="L46" s="8"/>
      <c r="M46" s="8"/>
      <c r="N46" s="8" t="s">
        <v>398</v>
      </c>
      <c r="O46" s="8"/>
      <c r="P46" s="8"/>
      <c r="Q46" s="8"/>
      <c r="R46" s="8"/>
      <c r="S46" s="8" t="s">
        <v>399</v>
      </c>
      <c r="T46" s="6" t="str">
        <f t="shared" si="3"/>
        <v>No Progress</v>
      </c>
      <c r="U46" s="8" t="s">
        <v>400</v>
      </c>
      <c r="V46" t="str">
        <f t="shared" si="4"/>
        <v>www.techinasia.com</v>
      </c>
      <c r="W46" s="8"/>
      <c r="X46" t="str">
        <f t="shared" si="5"/>
        <v>Neutral</v>
      </c>
    </row>
    <row r="47" spans="1:24" x14ac:dyDescent="0.3">
      <c r="A47" s="6">
        <v>46</v>
      </c>
      <c r="B47" s="61">
        <v>43251</v>
      </c>
      <c r="C47" s="7" t="str">
        <f t="shared" si="0"/>
        <v>2018</v>
      </c>
      <c r="D47" s="7" t="str">
        <f t="shared" si="1"/>
        <v>May</v>
      </c>
      <c r="E47" s="61">
        <v>43252</v>
      </c>
      <c r="F47" s="7" t="str">
        <f t="shared" si="2"/>
        <v>Jun</v>
      </c>
      <c r="G47" s="60" t="s">
        <v>32</v>
      </c>
      <c r="H47" s="60" t="s">
        <v>401</v>
      </c>
      <c r="I47" s="60" t="s">
        <v>402</v>
      </c>
      <c r="J47" s="60" t="s">
        <v>403</v>
      </c>
      <c r="K47" s="60" t="s">
        <v>20</v>
      </c>
      <c r="L47" s="60" t="s">
        <v>404</v>
      </c>
      <c r="M47" s="60" t="s">
        <v>405</v>
      </c>
      <c r="N47" s="60" t="s">
        <v>406</v>
      </c>
      <c r="O47" s="60"/>
      <c r="P47" s="60"/>
      <c r="Q47" s="60" t="s">
        <v>407</v>
      </c>
      <c r="R47" s="60"/>
      <c r="S47" s="60" t="s">
        <v>408</v>
      </c>
      <c r="T47" s="6" t="str">
        <f t="shared" si="3"/>
        <v>Hot</v>
      </c>
      <c r="U47" s="60" t="s">
        <v>409</v>
      </c>
      <c r="V47" t="str">
        <f t="shared" si="4"/>
        <v>www.techinasia.com</v>
      </c>
      <c r="W47" s="60" t="s">
        <v>410</v>
      </c>
      <c r="X47" t="str">
        <f t="shared" si="5"/>
        <v>Positive</v>
      </c>
    </row>
    <row r="48" spans="1:24" x14ac:dyDescent="0.3">
      <c r="A48" s="6">
        <v>47</v>
      </c>
      <c r="B48" s="13">
        <v>43251</v>
      </c>
      <c r="C48" s="7" t="str">
        <f t="shared" si="0"/>
        <v>2018</v>
      </c>
      <c r="D48" s="7" t="str">
        <f t="shared" si="1"/>
        <v>May</v>
      </c>
      <c r="E48" s="13">
        <v>43252</v>
      </c>
      <c r="F48" s="7" t="str">
        <f t="shared" si="2"/>
        <v>Jun</v>
      </c>
      <c r="G48" s="11" t="s">
        <v>17</v>
      </c>
      <c r="H48" s="11" t="s">
        <v>411</v>
      </c>
      <c r="I48" s="11" t="s">
        <v>155</v>
      </c>
      <c r="J48" s="11" t="s">
        <v>412</v>
      </c>
      <c r="K48" s="11" t="s">
        <v>20</v>
      </c>
      <c r="L48" s="11" t="s">
        <v>413</v>
      </c>
      <c r="M48" s="11" t="s">
        <v>414</v>
      </c>
      <c r="N48" s="11" t="s">
        <v>415</v>
      </c>
      <c r="O48" s="11"/>
      <c r="P48" s="11"/>
      <c r="Q48" s="11" t="s">
        <v>416</v>
      </c>
      <c r="R48" s="11"/>
      <c r="S48" s="11" t="s">
        <v>417</v>
      </c>
      <c r="T48" s="6" t="str">
        <f t="shared" si="3"/>
        <v>Cold</v>
      </c>
      <c r="U48" s="11" t="s">
        <v>418</v>
      </c>
      <c r="V48" t="str">
        <f t="shared" si="4"/>
        <v>www.techinasia.com</v>
      </c>
      <c r="W48" s="11" t="s">
        <v>419</v>
      </c>
      <c r="X48" t="str">
        <f t="shared" si="5"/>
        <v>Negative</v>
      </c>
    </row>
    <row r="49" spans="1:24" x14ac:dyDescent="0.3">
      <c r="A49" s="6">
        <v>48</v>
      </c>
      <c r="B49" s="10">
        <v>43251</v>
      </c>
      <c r="C49" s="7" t="str">
        <f t="shared" si="0"/>
        <v>2018</v>
      </c>
      <c r="D49" s="7" t="str">
        <f t="shared" si="1"/>
        <v>May</v>
      </c>
      <c r="E49" s="10">
        <v>43270</v>
      </c>
      <c r="F49" s="7" t="str">
        <f t="shared" si="2"/>
        <v>Jun</v>
      </c>
      <c r="G49" s="8" t="s">
        <v>32</v>
      </c>
      <c r="H49" s="8" t="s">
        <v>420</v>
      </c>
      <c r="I49" s="8" t="s">
        <v>204</v>
      </c>
      <c r="J49" s="8" t="s">
        <v>421</v>
      </c>
      <c r="K49" s="8" t="s">
        <v>302</v>
      </c>
      <c r="L49" s="8" t="s">
        <v>422</v>
      </c>
      <c r="M49" s="8"/>
      <c r="N49" s="8" t="s">
        <v>423</v>
      </c>
      <c r="O49" s="8"/>
      <c r="P49" s="8"/>
      <c r="Q49" s="8"/>
      <c r="R49" s="8"/>
      <c r="S49" s="8" t="s">
        <v>399</v>
      </c>
      <c r="T49" s="6" t="str">
        <f t="shared" si="3"/>
        <v>No Progress</v>
      </c>
      <c r="U49" s="8" t="s">
        <v>424</v>
      </c>
      <c r="V49" t="str">
        <f t="shared" si="4"/>
        <v>www.techinasia.com</v>
      </c>
      <c r="W49" s="8" t="s">
        <v>425</v>
      </c>
      <c r="X49" t="str">
        <f t="shared" si="5"/>
        <v>Neutral</v>
      </c>
    </row>
    <row r="50" spans="1:24" x14ac:dyDescent="0.3">
      <c r="A50" s="6">
        <v>49</v>
      </c>
      <c r="B50" s="13">
        <v>43251</v>
      </c>
      <c r="C50" s="7" t="str">
        <f t="shared" si="0"/>
        <v>2018</v>
      </c>
      <c r="D50" s="7" t="str">
        <f t="shared" si="1"/>
        <v>May</v>
      </c>
      <c r="E50" s="13">
        <v>43257</v>
      </c>
      <c r="F50" s="7" t="str">
        <f t="shared" si="2"/>
        <v>Jun</v>
      </c>
      <c r="G50" s="11" t="s">
        <v>26</v>
      </c>
      <c r="H50" s="11" t="s">
        <v>426</v>
      </c>
      <c r="I50" s="11" t="s">
        <v>427</v>
      </c>
      <c r="J50" s="11" t="s">
        <v>428</v>
      </c>
      <c r="K50" s="11" t="s">
        <v>20</v>
      </c>
      <c r="L50" s="11" t="s">
        <v>429</v>
      </c>
      <c r="M50" s="11"/>
      <c r="N50" s="11" t="s">
        <v>430</v>
      </c>
      <c r="O50" s="11"/>
      <c r="P50" s="11"/>
      <c r="Q50" s="32"/>
      <c r="R50" s="11"/>
      <c r="S50" s="11" t="s">
        <v>431</v>
      </c>
      <c r="T50" s="6" t="str">
        <f t="shared" si="3"/>
        <v>Cold</v>
      </c>
      <c r="U50" s="11" t="s">
        <v>432</v>
      </c>
      <c r="V50" t="str">
        <f t="shared" si="4"/>
        <v>www.f6s.com</v>
      </c>
      <c r="W50" s="11" t="s">
        <v>433</v>
      </c>
      <c r="X50" t="str">
        <f t="shared" si="5"/>
        <v>Negative</v>
      </c>
    </row>
    <row r="51" spans="1:24" x14ac:dyDescent="0.3">
      <c r="A51" s="6">
        <v>50</v>
      </c>
      <c r="B51" s="10">
        <v>43251</v>
      </c>
      <c r="C51" s="7" t="str">
        <f t="shared" si="0"/>
        <v>2018</v>
      </c>
      <c r="D51" s="7" t="str">
        <f t="shared" si="1"/>
        <v>May</v>
      </c>
      <c r="E51" s="10">
        <v>43251</v>
      </c>
      <c r="F51" s="7" t="str">
        <f t="shared" si="2"/>
        <v>May</v>
      </c>
      <c r="G51" s="8" t="s">
        <v>434</v>
      </c>
      <c r="H51" s="8" t="s">
        <v>435</v>
      </c>
      <c r="I51" s="8" t="s">
        <v>436</v>
      </c>
      <c r="J51" s="8" t="s">
        <v>437</v>
      </c>
      <c r="K51" s="8" t="s">
        <v>20</v>
      </c>
      <c r="L51" s="8" t="s">
        <v>438</v>
      </c>
      <c r="M51" s="8"/>
      <c r="N51" s="8"/>
      <c r="O51" s="8"/>
      <c r="P51" s="8"/>
      <c r="Q51" s="8"/>
      <c r="R51" s="8"/>
      <c r="S51" s="8" t="s">
        <v>439</v>
      </c>
      <c r="T51" s="6" t="str">
        <f t="shared" si="3"/>
        <v>No Progress</v>
      </c>
      <c r="U51" s="8" t="s">
        <v>440</v>
      </c>
      <c r="V51" t="str">
        <f t="shared" si="4"/>
        <v>www.f6s.com</v>
      </c>
      <c r="W51" s="8" t="s">
        <v>441</v>
      </c>
      <c r="X51" t="str">
        <f t="shared" si="5"/>
        <v>Neutral</v>
      </c>
    </row>
    <row r="52" spans="1:24" x14ac:dyDescent="0.3">
      <c r="A52" s="6">
        <v>51</v>
      </c>
      <c r="B52" s="17">
        <v>43255</v>
      </c>
      <c r="C52" s="7" t="str">
        <f t="shared" si="0"/>
        <v>2018</v>
      </c>
      <c r="D52" s="7" t="str">
        <f t="shared" si="1"/>
        <v>Jun</v>
      </c>
      <c r="E52" s="17">
        <v>43258</v>
      </c>
      <c r="F52" s="7" t="str">
        <f t="shared" si="2"/>
        <v>Jun</v>
      </c>
      <c r="G52" s="16" t="s">
        <v>17</v>
      </c>
      <c r="H52" s="16" t="s">
        <v>442</v>
      </c>
      <c r="I52" s="16" t="s">
        <v>155</v>
      </c>
      <c r="J52" s="16" t="s">
        <v>443</v>
      </c>
      <c r="K52" s="16" t="s">
        <v>20</v>
      </c>
      <c r="L52" s="16" t="s">
        <v>444</v>
      </c>
      <c r="M52" s="16" t="s">
        <v>445</v>
      </c>
      <c r="N52" s="16" t="s">
        <v>446</v>
      </c>
      <c r="O52" s="16"/>
      <c r="P52" s="16"/>
      <c r="Q52" s="16"/>
      <c r="R52" s="16"/>
      <c r="S52" s="16" t="s">
        <v>447</v>
      </c>
      <c r="T52" s="6" t="str">
        <f t="shared" si="3"/>
        <v>Warm</v>
      </c>
      <c r="U52" s="16" t="s">
        <v>448</v>
      </c>
      <c r="V52" t="str">
        <f t="shared" si="4"/>
        <v>startupjobs.asia</v>
      </c>
      <c r="W52" s="16" t="s">
        <v>449</v>
      </c>
      <c r="X52" t="str">
        <f t="shared" si="5"/>
        <v>Positive</v>
      </c>
    </row>
    <row r="53" spans="1:24" x14ac:dyDescent="0.3">
      <c r="A53" s="6">
        <v>52</v>
      </c>
      <c r="B53" s="31">
        <v>43255</v>
      </c>
      <c r="C53" s="7" t="str">
        <f t="shared" si="0"/>
        <v>2018</v>
      </c>
      <c r="D53" s="7" t="str">
        <f t="shared" si="1"/>
        <v>Jun</v>
      </c>
      <c r="E53" s="31">
        <v>43270</v>
      </c>
      <c r="F53" s="7" t="str">
        <f t="shared" si="2"/>
        <v>Jun</v>
      </c>
      <c r="G53" s="8" t="s">
        <v>17</v>
      </c>
      <c r="H53" s="8" t="s">
        <v>450</v>
      </c>
      <c r="I53" s="8" t="s">
        <v>330</v>
      </c>
      <c r="J53" s="8" t="s">
        <v>451</v>
      </c>
      <c r="K53" s="8" t="s">
        <v>20</v>
      </c>
      <c r="L53" s="8" t="s">
        <v>452</v>
      </c>
      <c r="M53" s="8" t="s">
        <v>453</v>
      </c>
      <c r="N53" s="8" t="s">
        <v>454</v>
      </c>
      <c r="O53" s="8"/>
      <c r="P53" s="8"/>
      <c r="Q53" s="8" t="s">
        <v>455</v>
      </c>
      <c r="R53" s="8" t="s">
        <v>456</v>
      </c>
      <c r="S53" s="8" t="s">
        <v>457</v>
      </c>
      <c r="T53" s="6" t="str">
        <f t="shared" si="3"/>
        <v>No Progress</v>
      </c>
      <c r="U53" s="8" t="s">
        <v>458</v>
      </c>
      <c r="V53" t="str">
        <f t="shared" si="4"/>
        <v>startupjobs.asia</v>
      </c>
      <c r="W53" s="8" t="s">
        <v>459</v>
      </c>
      <c r="X53" t="str">
        <f t="shared" si="5"/>
        <v>Neutral</v>
      </c>
    </row>
    <row r="54" spans="1:24" x14ac:dyDescent="0.3">
      <c r="A54" s="6">
        <v>53</v>
      </c>
      <c r="B54" s="17">
        <v>43255</v>
      </c>
      <c r="C54" s="7" t="str">
        <f t="shared" si="0"/>
        <v>2018</v>
      </c>
      <c r="D54" s="7" t="str">
        <f t="shared" si="1"/>
        <v>Jun</v>
      </c>
      <c r="E54" s="17">
        <v>43259</v>
      </c>
      <c r="F54" s="7" t="str">
        <f t="shared" si="2"/>
        <v>Jun</v>
      </c>
      <c r="G54" s="16" t="s">
        <v>17</v>
      </c>
      <c r="H54" s="16" t="s">
        <v>460</v>
      </c>
      <c r="I54" s="16" t="s">
        <v>155</v>
      </c>
      <c r="J54" s="16" t="s">
        <v>461</v>
      </c>
      <c r="K54" s="16" t="s">
        <v>20</v>
      </c>
      <c r="L54" s="16" t="s">
        <v>462</v>
      </c>
      <c r="M54" s="16" t="s">
        <v>463</v>
      </c>
      <c r="N54" s="16"/>
      <c r="O54" s="16"/>
      <c r="P54" s="16"/>
      <c r="Q54" s="16" t="s">
        <v>464</v>
      </c>
      <c r="R54" s="16"/>
      <c r="S54" s="16" t="s">
        <v>465</v>
      </c>
      <c r="T54" s="6" t="str">
        <f t="shared" si="3"/>
        <v>Warm</v>
      </c>
      <c r="U54" s="16" t="s">
        <v>466</v>
      </c>
      <c r="V54" t="str">
        <f t="shared" si="4"/>
        <v>startupjobs.asia</v>
      </c>
      <c r="W54" s="16" t="s">
        <v>467</v>
      </c>
      <c r="X54" t="str">
        <f t="shared" si="5"/>
        <v>Negative</v>
      </c>
    </row>
    <row r="55" spans="1:24" x14ac:dyDescent="0.3">
      <c r="A55" s="6">
        <v>54</v>
      </c>
      <c r="B55" s="61">
        <v>43255</v>
      </c>
      <c r="C55" s="7" t="str">
        <f t="shared" si="0"/>
        <v>2018</v>
      </c>
      <c r="D55" s="7" t="str">
        <f t="shared" si="1"/>
        <v>Jun</v>
      </c>
      <c r="E55" s="61">
        <v>43259</v>
      </c>
      <c r="F55" s="7" t="str">
        <f t="shared" si="2"/>
        <v>Jun</v>
      </c>
      <c r="G55" s="60" t="s">
        <v>17</v>
      </c>
      <c r="H55" s="60" t="s">
        <v>468</v>
      </c>
      <c r="I55" s="60" t="s">
        <v>155</v>
      </c>
      <c r="J55" s="60" t="s">
        <v>469</v>
      </c>
      <c r="K55" s="60" t="s">
        <v>20</v>
      </c>
      <c r="L55" s="60" t="s">
        <v>470</v>
      </c>
      <c r="M55" s="60" t="s">
        <v>471</v>
      </c>
      <c r="N55" s="60" t="s">
        <v>472</v>
      </c>
      <c r="O55" s="60"/>
      <c r="P55" s="60"/>
      <c r="Q55" s="64"/>
      <c r="R55" s="60"/>
      <c r="S55" s="60" t="s">
        <v>473</v>
      </c>
      <c r="T55" s="6" t="str">
        <f t="shared" si="3"/>
        <v>Hot</v>
      </c>
      <c r="U55" s="60" t="s">
        <v>474</v>
      </c>
      <c r="V55" t="str">
        <f t="shared" si="4"/>
        <v>startupjobs.asia</v>
      </c>
      <c r="W55" s="60" t="s">
        <v>475</v>
      </c>
      <c r="X55" t="str">
        <f t="shared" si="5"/>
        <v>Positive</v>
      </c>
    </row>
    <row r="56" spans="1:24" x14ac:dyDescent="0.3">
      <c r="A56" s="6">
        <v>55</v>
      </c>
      <c r="B56" s="31">
        <v>43255</v>
      </c>
      <c r="C56" s="7" t="str">
        <f t="shared" si="0"/>
        <v>2018</v>
      </c>
      <c r="D56" s="7" t="str">
        <f t="shared" si="1"/>
        <v>Jun</v>
      </c>
      <c r="E56" s="31">
        <v>43258</v>
      </c>
      <c r="F56" s="7" t="str">
        <f t="shared" si="2"/>
        <v>Jun</v>
      </c>
      <c r="G56" s="8" t="s">
        <v>32</v>
      </c>
      <c r="H56" s="8" t="s">
        <v>476</v>
      </c>
      <c r="I56" s="8" t="s">
        <v>330</v>
      </c>
      <c r="J56" s="8" t="s">
        <v>477</v>
      </c>
      <c r="K56" s="8" t="s">
        <v>20</v>
      </c>
      <c r="L56" s="8" t="s">
        <v>478</v>
      </c>
      <c r="M56" s="8" t="s">
        <v>479</v>
      </c>
      <c r="N56" s="8"/>
      <c r="O56" s="8"/>
      <c r="P56" s="8"/>
      <c r="Q56" s="8" t="s">
        <v>480</v>
      </c>
      <c r="R56" s="8"/>
      <c r="S56" s="8" t="s">
        <v>481</v>
      </c>
      <c r="T56" s="6" t="str">
        <f t="shared" si="3"/>
        <v>No Progress</v>
      </c>
      <c r="U56" s="8" t="s">
        <v>482</v>
      </c>
      <c r="V56" t="str">
        <f t="shared" si="4"/>
        <v>www.techinasia.com</v>
      </c>
      <c r="W56" s="8" t="s">
        <v>483</v>
      </c>
      <c r="X56" t="str">
        <f t="shared" si="5"/>
        <v>Negative</v>
      </c>
    </row>
    <row r="57" spans="1:24" ht="28.8" x14ac:dyDescent="0.3">
      <c r="A57" s="6">
        <v>56</v>
      </c>
      <c r="B57" s="31">
        <v>43255</v>
      </c>
      <c r="C57" s="7" t="str">
        <f t="shared" si="0"/>
        <v>2018</v>
      </c>
      <c r="D57" s="7" t="str">
        <f t="shared" si="1"/>
        <v>Jun</v>
      </c>
      <c r="E57" s="31">
        <v>43270</v>
      </c>
      <c r="F57" s="7" t="str">
        <f t="shared" si="2"/>
        <v>Jun</v>
      </c>
      <c r="G57" s="8" t="s">
        <v>60</v>
      </c>
      <c r="H57" s="8" t="s">
        <v>484</v>
      </c>
      <c r="I57" s="8" t="s">
        <v>330</v>
      </c>
      <c r="J57" s="8" t="s">
        <v>485</v>
      </c>
      <c r="K57" s="8" t="s">
        <v>20</v>
      </c>
      <c r="L57" s="33" t="s">
        <v>486</v>
      </c>
      <c r="M57" s="8"/>
      <c r="N57" s="8" t="s">
        <v>487</v>
      </c>
      <c r="O57" s="8"/>
      <c r="P57" s="8"/>
      <c r="Q57" s="8"/>
      <c r="R57" s="8"/>
      <c r="S57" s="8" t="s">
        <v>457</v>
      </c>
      <c r="T57" s="6" t="str">
        <f t="shared" si="3"/>
        <v>No Progress</v>
      </c>
      <c r="U57" s="8" t="s">
        <v>488</v>
      </c>
      <c r="V57" t="str">
        <f t="shared" si="4"/>
        <v>www.techinasia.com</v>
      </c>
      <c r="W57" s="8" t="s">
        <v>489</v>
      </c>
      <c r="X57" t="str">
        <f t="shared" si="5"/>
        <v>Neutral</v>
      </c>
    </row>
    <row r="58" spans="1:24" ht="28.8" x14ac:dyDescent="0.3">
      <c r="A58" s="6">
        <v>57</v>
      </c>
      <c r="B58" s="31">
        <v>43255</v>
      </c>
      <c r="C58" s="7" t="str">
        <f t="shared" si="0"/>
        <v>2018</v>
      </c>
      <c r="D58" s="7" t="str">
        <f t="shared" si="1"/>
        <v>Jun</v>
      </c>
      <c r="E58" s="31">
        <v>43270</v>
      </c>
      <c r="F58" s="7" t="str">
        <f t="shared" si="2"/>
        <v>Jun</v>
      </c>
      <c r="G58" s="8" t="s">
        <v>490</v>
      </c>
      <c r="H58" s="8" t="s">
        <v>491</v>
      </c>
      <c r="I58" s="8" t="s">
        <v>119</v>
      </c>
      <c r="J58" s="8" t="s">
        <v>492</v>
      </c>
      <c r="K58" s="8" t="s">
        <v>20</v>
      </c>
      <c r="L58" s="33" t="s">
        <v>493</v>
      </c>
      <c r="N58" s="8" t="s">
        <v>494</v>
      </c>
      <c r="O58" s="8"/>
      <c r="P58" s="8"/>
      <c r="Q58" s="8"/>
      <c r="R58" s="8"/>
      <c r="S58" s="8" t="s">
        <v>457</v>
      </c>
      <c r="T58" s="6" t="str">
        <f t="shared" si="3"/>
        <v>No Progress</v>
      </c>
      <c r="U58" s="8" t="s">
        <v>495</v>
      </c>
      <c r="V58" t="str">
        <f t="shared" si="4"/>
        <v>www.f6s.com</v>
      </c>
      <c r="W58" s="8" t="s">
        <v>496</v>
      </c>
      <c r="X58" t="str">
        <f t="shared" si="5"/>
        <v>Neutral</v>
      </c>
    </row>
    <row r="59" spans="1:24" x14ac:dyDescent="0.3">
      <c r="A59" s="6">
        <v>58</v>
      </c>
      <c r="B59" s="10">
        <v>43256</v>
      </c>
      <c r="C59" s="7" t="str">
        <f t="shared" si="0"/>
        <v>2018</v>
      </c>
      <c r="D59" s="7" t="str">
        <f t="shared" si="1"/>
        <v>Jun</v>
      </c>
      <c r="E59" s="10">
        <v>43270</v>
      </c>
      <c r="F59" s="7" t="str">
        <f t="shared" si="2"/>
        <v>Jun</v>
      </c>
      <c r="G59" s="8" t="s">
        <v>32</v>
      </c>
      <c r="H59" s="8" t="s">
        <v>497</v>
      </c>
      <c r="I59" s="8" t="s">
        <v>34</v>
      </c>
      <c r="J59" s="8" t="s">
        <v>498</v>
      </c>
      <c r="K59" s="8"/>
      <c r="L59" s="8"/>
      <c r="M59" s="8"/>
      <c r="N59" s="8"/>
      <c r="O59" s="8"/>
      <c r="P59" s="8"/>
      <c r="Q59" s="8" t="s">
        <v>499</v>
      </c>
      <c r="R59" s="8"/>
      <c r="S59" s="8" t="s">
        <v>500</v>
      </c>
      <c r="T59" s="6" t="str">
        <f t="shared" si="3"/>
        <v>No Progress</v>
      </c>
      <c r="U59" s="8" t="s">
        <v>501</v>
      </c>
      <c r="V59" t="str">
        <f t="shared" si="4"/>
        <v>www.techinasia.com</v>
      </c>
      <c r="W59" s="8"/>
      <c r="X59" t="str">
        <f t="shared" si="5"/>
        <v>Neutral</v>
      </c>
    </row>
    <row r="60" spans="1:24" x14ac:dyDescent="0.3">
      <c r="A60" s="6">
        <v>59</v>
      </c>
      <c r="B60" s="61">
        <v>43256</v>
      </c>
      <c r="C60" s="7" t="str">
        <f t="shared" si="0"/>
        <v>2018</v>
      </c>
      <c r="D60" s="7" t="str">
        <f t="shared" si="1"/>
        <v>Jun</v>
      </c>
      <c r="E60" s="61">
        <v>43256</v>
      </c>
      <c r="F60" s="7" t="str">
        <f t="shared" si="2"/>
        <v>Jun</v>
      </c>
      <c r="G60" s="60" t="s">
        <v>32</v>
      </c>
      <c r="H60" s="60" t="s">
        <v>502</v>
      </c>
      <c r="I60" s="60" t="s">
        <v>503</v>
      </c>
      <c r="J60" s="60" t="s">
        <v>504</v>
      </c>
      <c r="K60" s="60" t="s">
        <v>20</v>
      </c>
      <c r="L60" s="60" t="s">
        <v>505</v>
      </c>
      <c r="M60" s="60" t="s">
        <v>506</v>
      </c>
      <c r="N60" s="60" t="s">
        <v>507</v>
      </c>
      <c r="O60" s="60"/>
      <c r="P60" s="65"/>
      <c r="Q60" s="60" t="s">
        <v>508</v>
      </c>
      <c r="R60" s="60"/>
      <c r="S60" s="60" t="s">
        <v>509</v>
      </c>
      <c r="T60" s="6" t="str">
        <f t="shared" si="3"/>
        <v>Hot</v>
      </c>
      <c r="U60" s="60" t="s">
        <v>510</v>
      </c>
      <c r="V60" t="str">
        <f t="shared" si="4"/>
        <v>www.techinasia.com</v>
      </c>
      <c r="W60" s="60" t="s">
        <v>511</v>
      </c>
      <c r="X60" t="str">
        <f t="shared" si="5"/>
        <v>Positive</v>
      </c>
    </row>
    <row r="61" spans="1:24" x14ac:dyDescent="0.3">
      <c r="A61" s="6">
        <v>60</v>
      </c>
      <c r="B61" s="61">
        <v>43256</v>
      </c>
      <c r="C61" s="7" t="str">
        <f t="shared" si="0"/>
        <v>2018</v>
      </c>
      <c r="D61" s="7" t="str">
        <f t="shared" si="1"/>
        <v>Jun</v>
      </c>
      <c r="E61" s="61">
        <v>43259</v>
      </c>
      <c r="F61" s="7" t="str">
        <f t="shared" si="2"/>
        <v>Jun</v>
      </c>
      <c r="G61" s="60" t="s">
        <v>512</v>
      </c>
      <c r="H61" s="60" t="s">
        <v>513</v>
      </c>
      <c r="I61" s="60" t="s">
        <v>514</v>
      </c>
      <c r="J61" s="60" t="s">
        <v>515</v>
      </c>
      <c r="K61" s="60" t="s">
        <v>20</v>
      </c>
      <c r="L61" s="60" t="s">
        <v>516</v>
      </c>
      <c r="M61" s="60"/>
      <c r="N61" s="60" t="s">
        <v>517</v>
      </c>
      <c r="O61" s="60"/>
      <c r="P61" s="60"/>
      <c r="Q61" s="60"/>
      <c r="R61" s="60"/>
      <c r="S61" s="60" t="s">
        <v>518</v>
      </c>
      <c r="T61" s="6" t="str">
        <f t="shared" si="3"/>
        <v>Hot</v>
      </c>
      <c r="U61" s="60" t="s">
        <v>519</v>
      </c>
      <c r="V61" t="str">
        <f t="shared" si="4"/>
        <v>www.f6s.com</v>
      </c>
      <c r="W61" s="60" t="s">
        <v>520</v>
      </c>
      <c r="X61" t="str">
        <f t="shared" si="5"/>
        <v>Neutral</v>
      </c>
    </row>
    <row r="62" spans="1:24" x14ac:dyDescent="0.3">
      <c r="A62" s="6">
        <v>61</v>
      </c>
      <c r="B62" s="10">
        <v>43256</v>
      </c>
      <c r="C62" s="7" t="str">
        <f t="shared" si="0"/>
        <v>2018</v>
      </c>
      <c r="D62" s="7" t="str">
        <f t="shared" si="1"/>
        <v>Jun</v>
      </c>
      <c r="E62" s="10">
        <v>43270</v>
      </c>
      <c r="F62" s="7" t="str">
        <f t="shared" si="2"/>
        <v>Jun</v>
      </c>
      <c r="G62" s="8" t="s">
        <v>521</v>
      </c>
      <c r="H62" s="8" t="s">
        <v>522</v>
      </c>
      <c r="I62" s="8"/>
      <c r="J62" s="8"/>
      <c r="K62" s="8" t="s">
        <v>20</v>
      </c>
      <c r="L62" s="8" t="s">
        <v>523</v>
      </c>
      <c r="M62" s="8"/>
      <c r="N62" s="8" t="s">
        <v>524</v>
      </c>
      <c r="O62" s="8"/>
      <c r="P62" s="8"/>
      <c r="Q62" s="8"/>
      <c r="R62" s="8"/>
      <c r="S62" s="8" t="s">
        <v>500</v>
      </c>
      <c r="T62" s="6" t="str">
        <f t="shared" si="3"/>
        <v>No Progress</v>
      </c>
      <c r="U62" s="8" t="s">
        <v>525</v>
      </c>
      <c r="V62" t="str">
        <f t="shared" si="4"/>
        <v>www.f6s.com</v>
      </c>
      <c r="W62" s="8" t="s">
        <v>526</v>
      </c>
      <c r="X62" t="str">
        <f t="shared" si="5"/>
        <v>Neutral</v>
      </c>
    </row>
    <row r="63" spans="1:24" x14ac:dyDescent="0.3">
      <c r="A63" s="6">
        <v>62</v>
      </c>
      <c r="B63" s="17">
        <v>43256</v>
      </c>
      <c r="C63" s="7" t="str">
        <f t="shared" si="0"/>
        <v>2018</v>
      </c>
      <c r="D63" s="7" t="str">
        <f t="shared" si="1"/>
        <v>Jun</v>
      </c>
      <c r="E63" s="17">
        <v>43273</v>
      </c>
      <c r="F63" s="7" t="str">
        <f t="shared" si="2"/>
        <v>Jun</v>
      </c>
      <c r="G63" s="16" t="s">
        <v>490</v>
      </c>
      <c r="H63" s="16" t="s">
        <v>527</v>
      </c>
      <c r="I63" s="16" t="s">
        <v>330</v>
      </c>
      <c r="J63" s="16" t="s">
        <v>528</v>
      </c>
      <c r="K63" s="16" t="s">
        <v>302</v>
      </c>
      <c r="L63" s="16" t="s">
        <v>529</v>
      </c>
      <c r="M63" s="16" t="s">
        <v>530</v>
      </c>
      <c r="N63" s="18" t="s">
        <v>531</v>
      </c>
      <c r="O63" s="16" t="s">
        <v>532</v>
      </c>
      <c r="P63" s="16" t="s">
        <v>533</v>
      </c>
      <c r="Q63" s="16" t="s">
        <v>534</v>
      </c>
      <c r="R63" s="16"/>
      <c r="S63" s="16" t="s">
        <v>535</v>
      </c>
      <c r="T63" s="6" t="str">
        <f t="shared" si="3"/>
        <v>Warm</v>
      </c>
      <c r="U63" s="16" t="s">
        <v>536</v>
      </c>
      <c r="V63" t="str">
        <f t="shared" si="4"/>
        <v>www.f6s.com</v>
      </c>
      <c r="W63" s="16" t="s">
        <v>537</v>
      </c>
      <c r="X63" t="str">
        <f t="shared" si="5"/>
        <v>Positive</v>
      </c>
    </row>
    <row r="64" spans="1:24" x14ac:dyDescent="0.3">
      <c r="A64" s="6">
        <v>63</v>
      </c>
      <c r="B64" s="31">
        <v>43256</v>
      </c>
      <c r="C64" s="7" t="str">
        <f t="shared" si="0"/>
        <v>2018</v>
      </c>
      <c r="D64" s="7" t="str">
        <f t="shared" si="1"/>
        <v>Jun</v>
      </c>
      <c r="E64" s="31">
        <v>43272</v>
      </c>
      <c r="F64" s="7" t="str">
        <f t="shared" si="2"/>
        <v>Jun</v>
      </c>
      <c r="G64" s="27" t="s">
        <v>490</v>
      </c>
      <c r="H64" s="27" t="s">
        <v>538</v>
      </c>
      <c r="I64" s="27" t="s">
        <v>204</v>
      </c>
      <c r="J64" s="27" t="s">
        <v>539</v>
      </c>
      <c r="K64" s="27" t="s">
        <v>20</v>
      </c>
      <c r="L64" s="27" t="s">
        <v>540</v>
      </c>
      <c r="M64" s="27" t="s">
        <v>541</v>
      </c>
      <c r="N64" s="27"/>
      <c r="O64" s="27"/>
      <c r="P64" s="27" t="s">
        <v>542</v>
      </c>
      <c r="Q64" s="27"/>
      <c r="R64" s="27"/>
      <c r="S64" s="27" t="s">
        <v>543</v>
      </c>
      <c r="T64" s="6" t="str">
        <f t="shared" si="3"/>
        <v>No Progress</v>
      </c>
      <c r="U64" s="27" t="s">
        <v>544</v>
      </c>
      <c r="V64" t="str">
        <f t="shared" si="4"/>
        <v>www.f6s.com</v>
      </c>
      <c r="W64" s="27" t="s">
        <v>545</v>
      </c>
      <c r="X64" t="str">
        <f t="shared" si="5"/>
        <v>Neutral</v>
      </c>
    </row>
    <row r="65" spans="1:24" x14ac:dyDescent="0.3">
      <c r="A65" s="6">
        <v>64</v>
      </c>
      <c r="B65" s="10">
        <v>43256</v>
      </c>
      <c r="C65" s="7" t="str">
        <f t="shared" si="0"/>
        <v>2018</v>
      </c>
      <c r="D65" s="7" t="str">
        <f t="shared" si="1"/>
        <v>Jun</v>
      </c>
      <c r="E65" s="10">
        <v>43270</v>
      </c>
      <c r="F65" s="7" t="str">
        <f t="shared" si="2"/>
        <v>Jun</v>
      </c>
      <c r="G65" s="8" t="s">
        <v>26</v>
      </c>
      <c r="H65" s="8" t="s">
        <v>546</v>
      </c>
      <c r="I65" s="8" t="s">
        <v>19</v>
      </c>
      <c r="J65" s="8" t="s">
        <v>547</v>
      </c>
      <c r="K65" s="8" t="s">
        <v>20</v>
      </c>
      <c r="L65" s="8" t="s">
        <v>548</v>
      </c>
      <c r="M65" s="8" t="s">
        <v>549</v>
      </c>
      <c r="N65" s="8" t="s">
        <v>550</v>
      </c>
      <c r="O65" s="8"/>
      <c r="P65" s="8"/>
      <c r="Q65" s="8"/>
      <c r="R65" s="8"/>
      <c r="S65" s="8" t="s">
        <v>500</v>
      </c>
      <c r="T65" s="6" t="str">
        <f t="shared" si="3"/>
        <v>No Progress</v>
      </c>
      <c r="U65" s="8" t="s">
        <v>551</v>
      </c>
      <c r="V65" t="str">
        <f t="shared" si="4"/>
        <v>www.f6s.com</v>
      </c>
      <c r="W65" s="8" t="s">
        <v>552</v>
      </c>
      <c r="X65" t="str">
        <f t="shared" si="5"/>
        <v>Neutral</v>
      </c>
    </row>
    <row r="66" spans="1:24" x14ac:dyDescent="0.3">
      <c r="A66" s="6">
        <v>65</v>
      </c>
      <c r="B66" s="17">
        <v>43256</v>
      </c>
      <c r="C66" s="7" t="str">
        <f t="shared" si="0"/>
        <v>2018</v>
      </c>
      <c r="D66" s="7" t="str">
        <f t="shared" si="1"/>
        <v>Jun</v>
      </c>
      <c r="E66" s="17">
        <v>43270</v>
      </c>
      <c r="F66" s="7" t="str">
        <f t="shared" si="2"/>
        <v>Jun</v>
      </c>
      <c r="G66" s="16" t="s">
        <v>553</v>
      </c>
      <c r="H66" s="16" t="s">
        <v>554</v>
      </c>
      <c r="I66" s="16" t="s">
        <v>555</v>
      </c>
      <c r="J66" s="16" t="s">
        <v>556</v>
      </c>
      <c r="K66" s="16" t="s">
        <v>20</v>
      </c>
      <c r="L66" s="16" t="s">
        <v>557</v>
      </c>
      <c r="M66" s="16" t="s">
        <v>558</v>
      </c>
      <c r="N66" s="16" t="s">
        <v>559</v>
      </c>
      <c r="O66" s="16"/>
      <c r="P66" s="16"/>
      <c r="Q66" s="16"/>
      <c r="R66" s="16"/>
      <c r="S66" s="16" t="s">
        <v>560</v>
      </c>
      <c r="T66" s="6" t="str">
        <f t="shared" si="3"/>
        <v>Warm</v>
      </c>
      <c r="U66" s="16" t="s">
        <v>561</v>
      </c>
      <c r="V66" t="str">
        <f t="shared" si="4"/>
        <v>www.f6s.com</v>
      </c>
      <c r="W66" s="16" t="s">
        <v>562</v>
      </c>
      <c r="X66" t="str">
        <f t="shared" si="5"/>
        <v>Positive</v>
      </c>
    </row>
    <row r="67" spans="1:24" x14ac:dyDescent="0.3">
      <c r="A67" s="6">
        <v>66</v>
      </c>
      <c r="B67" s="10">
        <v>43256</v>
      </c>
      <c r="C67" s="7" t="str">
        <f t="shared" ref="C67:C130" si="6">TEXT(B67, "yyyy")</f>
        <v>2018</v>
      </c>
      <c r="D67" s="7" t="str">
        <f t="shared" ref="D67:D130" si="7">TEXT(B67, "mmm")</f>
        <v>Jun</v>
      </c>
      <c r="E67" s="10">
        <v>43270</v>
      </c>
      <c r="F67" s="7" t="str">
        <f t="shared" ref="F67:F130" si="8">TEXT(E67, "mmm")</f>
        <v>Jun</v>
      </c>
      <c r="G67" s="8" t="s">
        <v>563</v>
      </c>
      <c r="H67" s="8" t="s">
        <v>564</v>
      </c>
      <c r="I67" s="8" t="s">
        <v>565</v>
      </c>
      <c r="J67" s="8" t="s">
        <v>566</v>
      </c>
      <c r="K67" s="8" t="s">
        <v>20</v>
      </c>
      <c r="L67" s="8" t="s">
        <v>567</v>
      </c>
      <c r="M67" s="8"/>
      <c r="N67" s="8" t="s">
        <v>568</v>
      </c>
      <c r="O67" s="8"/>
      <c r="P67" s="8"/>
      <c r="Q67" s="8"/>
      <c r="R67" s="8"/>
      <c r="S67" s="8" t="s">
        <v>500</v>
      </c>
      <c r="T67" s="6" t="str">
        <f t="shared" ref="T67:T130" si="9">GetCellColorStatus(B67)</f>
        <v>No Progress</v>
      </c>
      <c r="U67" s="8" t="s">
        <v>569</v>
      </c>
      <c r="V67" t="str">
        <f t="shared" ref="V67:V130" si="10">IF(U67 = "", "No Source", MID(U67, SEARCH("//", U67) + 2, SEARCH("/", U67, SEARCH("//", U67) + 2) - SEARCH("//", U67) - 2))</f>
        <v>www.f6s.com</v>
      </c>
      <c r="W67" s="8" t="s">
        <v>570</v>
      </c>
      <c r="X67" t="str">
        <f t="shared" ref="X67:X130" si="11">IF(OR(ISNUMBER(SEARCH("no answer", LOWER(S67))), ISNUMBER(SEARCH("not interested", LOWER(S67)))), "Negative",
IF(OR(ISNUMBER(SEARCH("email sent", LOWER(S67))), ISNUMBER(SEARCH("follow up", LOWER(S67))), ISNUMBER(SEARCH("spoke", LOWER(S67)))), "Positive",
"Neutral"))</f>
        <v>Neutral</v>
      </c>
    </row>
    <row r="68" spans="1:24" x14ac:dyDescent="0.3">
      <c r="A68" s="6">
        <v>67</v>
      </c>
      <c r="B68" s="13">
        <v>43256</v>
      </c>
      <c r="C68" s="7" t="str">
        <f t="shared" si="6"/>
        <v>2018</v>
      </c>
      <c r="D68" s="7" t="str">
        <f t="shared" si="7"/>
        <v>Jun</v>
      </c>
      <c r="E68" s="13">
        <v>43270</v>
      </c>
      <c r="F68" s="7" t="str">
        <f t="shared" si="8"/>
        <v>Jun</v>
      </c>
      <c r="G68" s="11" t="s">
        <v>191</v>
      </c>
      <c r="H68" s="11" t="s">
        <v>571</v>
      </c>
      <c r="I68" s="11" t="s">
        <v>204</v>
      </c>
      <c r="J68" s="11" t="s">
        <v>572</v>
      </c>
      <c r="K68" s="11" t="s">
        <v>20</v>
      </c>
      <c r="L68" s="11" t="s">
        <v>573</v>
      </c>
      <c r="M68" s="11"/>
      <c r="N68" s="11" t="s">
        <v>574</v>
      </c>
      <c r="O68" s="11"/>
      <c r="P68" s="11"/>
      <c r="Q68" s="11" t="s">
        <v>575</v>
      </c>
      <c r="R68" s="11"/>
      <c r="S68" s="11" t="s">
        <v>576</v>
      </c>
      <c r="T68" s="6" t="str">
        <f t="shared" si="9"/>
        <v>Cold</v>
      </c>
      <c r="U68" s="11" t="s">
        <v>577</v>
      </c>
      <c r="V68" t="str">
        <f t="shared" si="10"/>
        <v>www.f6s.com</v>
      </c>
      <c r="W68" s="11" t="s">
        <v>578</v>
      </c>
      <c r="X68" t="str">
        <f t="shared" si="11"/>
        <v>Negative</v>
      </c>
    </row>
    <row r="69" spans="1:24" x14ac:dyDescent="0.3">
      <c r="A69" s="6">
        <v>68</v>
      </c>
      <c r="B69" s="35">
        <v>43257</v>
      </c>
      <c r="C69" s="7" t="str">
        <f t="shared" si="6"/>
        <v>2018</v>
      </c>
      <c r="D69" s="7" t="str">
        <f t="shared" si="7"/>
        <v>Jun</v>
      </c>
      <c r="E69" s="35">
        <v>43257</v>
      </c>
      <c r="F69" s="7" t="str">
        <f t="shared" si="8"/>
        <v>Jun</v>
      </c>
      <c r="G69" s="34" t="s">
        <v>490</v>
      </c>
      <c r="H69" s="34" t="s">
        <v>579</v>
      </c>
      <c r="I69" s="34" t="s">
        <v>580</v>
      </c>
      <c r="J69" s="36" t="s">
        <v>581</v>
      </c>
      <c r="K69" s="34" t="s">
        <v>20</v>
      </c>
      <c r="L69" s="34" t="s">
        <v>582</v>
      </c>
      <c r="M69" s="34"/>
      <c r="N69" s="36" t="s">
        <v>583</v>
      </c>
      <c r="O69" s="34"/>
      <c r="P69" s="34"/>
      <c r="Q69" s="34"/>
      <c r="R69" s="34"/>
      <c r="S69" s="34" t="s">
        <v>584</v>
      </c>
      <c r="T69" s="6" t="str">
        <f t="shared" si="9"/>
        <v>No Progress</v>
      </c>
      <c r="U69" s="36" t="s">
        <v>585</v>
      </c>
      <c r="V69" t="str">
        <f t="shared" si="10"/>
        <v>www.f6s.com</v>
      </c>
      <c r="W69" s="36" t="s">
        <v>586</v>
      </c>
      <c r="X69" t="str">
        <f t="shared" si="11"/>
        <v>Neutral</v>
      </c>
    </row>
    <row r="70" spans="1:24" x14ac:dyDescent="0.3">
      <c r="A70" s="6">
        <v>69</v>
      </c>
      <c r="B70" s="10">
        <v>43257</v>
      </c>
      <c r="C70" s="7" t="str">
        <f t="shared" si="6"/>
        <v>2018</v>
      </c>
      <c r="D70" s="7" t="str">
        <f t="shared" si="7"/>
        <v>Jun</v>
      </c>
      <c r="E70" s="10">
        <v>43272</v>
      </c>
      <c r="F70" s="7" t="str">
        <f t="shared" si="8"/>
        <v>Jun</v>
      </c>
      <c r="G70" s="8" t="s">
        <v>76</v>
      </c>
      <c r="H70" s="8" t="s">
        <v>587</v>
      </c>
      <c r="I70" s="8" t="s">
        <v>155</v>
      </c>
      <c r="J70" s="8" t="s">
        <v>588</v>
      </c>
      <c r="K70" s="8" t="s">
        <v>20</v>
      </c>
      <c r="L70" s="8" t="s">
        <v>589</v>
      </c>
      <c r="M70" s="8" t="s">
        <v>590</v>
      </c>
      <c r="N70" s="8" t="s">
        <v>591</v>
      </c>
      <c r="O70" s="8"/>
      <c r="P70" s="8"/>
      <c r="Q70" s="8" t="s">
        <v>592</v>
      </c>
      <c r="R70" s="8"/>
      <c r="S70" s="8" t="s">
        <v>593</v>
      </c>
      <c r="T70" s="6" t="str">
        <f t="shared" si="9"/>
        <v>No Progress</v>
      </c>
      <c r="U70" s="8" t="s">
        <v>594</v>
      </c>
      <c r="V70" t="str">
        <f t="shared" si="10"/>
        <v>www.f6s.com</v>
      </c>
      <c r="W70" s="8" t="s">
        <v>595</v>
      </c>
      <c r="X70" t="str">
        <f t="shared" si="11"/>
        <v>Neutral</v>
      </c>
    </row>
    <row r="71" spans="1:24" x14ac:dyDescent="0.3">
      <c r="A71" s="6">
        <v>70</v>
      </c>
      <c r="B71" s="13">
        <v>43257</v>
      </c>
      <c r="C71" s="7" t="str">
        <f t="shared" si="6"/>
        <v>2018</v>
      </c>
      <c r="D71" s="7" t="str">
        <f t="shared" si="7"/>
        <v>Jun</v>
      </c>
      <c r="E71" s="13">
        <v>43270</v>
      </c>
      <c r="F71" s="7" t="str">
        <f t="shared" si="8"/>
        <v>Jun</v>
      </c>
      <c r="G71" s="11" t="s">
        <v>490</v>
      </c>
      <c r="H71" s="11" t="s">
        <v>596</v>
      </c>
      <c r="I71" s="11" t="s">
        <v>204</v>
      </c>
      <c r="J71" s="11" t="s">
        <v>597</v>
      </c>
      <c r="K71" s="11" t="s">
        <v>20</v>
      </c>
      <c r="L71" s="11" t="s">
        <v>598</v>
      </c>
      <c r="M71" s="11" t="s">
        <v>599</v>
      </c>
      <c r="N71" s="11" t="s">
        <v>600</v>
      </c>
      <c r="O71" s="11"/>
      <c r="P71" s="11"/>
      <c r="Q71" s="11" t="s">
        <v>601</v>
      </c>
      <c r="R71" s="11"/>
      <c r="S71" s="11" t="s">
        <v>602</v>
      </c>
      <c r="T71" s="6" t="str">
        <f t="shared" si="9"/>
        <v>Cold</v>
      </c>
      <c r="U71" s="11" t="s">
        <v>603</v>
      </c>
      <c r="V71" t="str">
        <f t="shared" si="10"/>
        <v>www.f6s.com</v>
      </c>
      <c r="W71" s="11" t="s">
        <v>604</v>
      </c>
      <c r="X71" t="str">
        <f t="shared" si="11"/>
        <v>Negative</v>
      </c>
    </row>
    <row r="72" spans="1:24" x14ac:dyDescent="0.3">
      <c r="A72" s="6">
        <v>71</v>
      </c>
      <c r="B72" s="17">
        <v>43257</v>
      </c>
      <c r="C72" s="7" t="str">
        <f t="shared" si="6"/>
        <v>2018</v>
      </c>
      <c r="D72" s="7" t="str">
        <f t="shared" si="7"/>
        <v>Jun</v>
      </c>
      <c r="E72" s="17">
        <v>43257</v>
      </c>
      <c r="F72" s="7" t="str">
        <f t="shared" si="8"/>
        <v>Jun</v>
      </c>
      <c r="G72" s="16" t="s">
        <v>605</v>
      </c>
      <c r="H72" s="16" t="s">
        <v>606</v>
      </c>
      <c r="I72" s="16" t="s">
        <v>155</v>
      </c>
      <c r="J72" s="16" t="s">
        <v>607</v>
      </c>
      <c r="K72" s="16" t="s">
        <v>20</v>
      </c>
      <c r="L72" s="16" t="s">
        <v>608</v>
      </c>
      <c r="M72" s="16" t="s">
        <v>609</v>
      </c>
      <c r="N72" s="16" t="s">
        <v>610</v>
      </c>
      <c r="O72" s="16" t="s">
        <v>611</v>
      </c>
      <c r="P72" s="18" t="s">
        <v>612</v>
      </c>
      <c r="Q72" s="16" t="s">
        <v>613</v>
      </c>
      <c r="R72" s="16"/>
      <c r="S72" s="16" t="s">
        <v>614</v>
      </c>
      <c r="T72" s="6" t="str">
        <f t="shared" si="9"/>
        <v>Warm</v>
      </c>
      <c r="U72" s="16" t="s">
        <v>615</v>
      </c>
      <c r="V72" t="str">
        <f t="shared" si="10"/>
        <v>www.f6s.com</v>
      </c>
      <c r="W72" s="16" t="s">
        <v>616</v>
      </c>
      <c r="X72" t="str">
        <f t="shared" si="11"/>
        <v>Positive</v>
      </c>
    </row>
    <row r="73" spans="1:24" x14ac:dyDescent="0.3">
      <c r="A73" s="6">
        <v>72</v>
      </c>
      <c r="B73" s="10">
        <v>43257</v>
      </c>
      <c r="C73" s="7" t="str">
        <f t="shared" si="6"/>
        <v>2018</v>
      </c>
      <c r="D73" s="7" t="str">
        <f t="shared" si="7"/>
        <v>Jun</v>
      </c>
      <c r="E73" s="10">
        <v>43270</v>
      </c>
      <c r="F73" s="7" t="str">
        <f t="shared" si="8"/>
        <v>Jun</v>
      </c>
      <c r="G73" s="8" t="s">
        <v>32</v>
      </c>
      <c r="H73" s="8" t="s">
        <v>617</v>
      </c>
      <c r="I73" s="8" t="s">
        <v>618</v>
      </c>
      <c r="J73" s="8" t="s">
        <v>619</v>
      </c>
      <c r="K73" s="8" t="s">
        <v>302</v>
      </c>
      <c r="L73" s="8" t="s">
        <v>620</v>
      </c>
      <c r="M73" s="8"/>
      <c r="N73" s="8" t="s">
        <v>621</v>
      </c>
      <c r="O73" s="8"/>
      <c r="P73" s="8"/>
      <c r="Q73" s="8"/>
      <c r="R73" s="8"/>
      <c r="S73" s="8" t="s">
        <v>622</v>
      </c>
      <c r="T73" s="6" t="str">
        <f t="shared" si="9"/>
        <v>No Progress</v>
      </c>
      <c r="U73" s="8" t="s">
        <v>623</v>
      </c>
      <c r="V73" t="str">
        <f t="shared" si="10"/>
        <v>www.f6s.com</v>
      </c>
      <c r="W73" s="8" t="s">
        <v>624</v>
      </c>
      <c r="X73" t="str">
        <f t="shared" si="11"/>
        <v>Neutral</v>
      </c>
    </row>
    <row r="74" spans="1:24" x14ac:dyDescent="0.3">
      <c r="A74" s="6">
        <v>73</v>
      </c>
      <c r="B74" s="10">
        <v>43257</v>
      </c>
      <c r="C74" s="7" t="str">
        <f t="shared" si="6"/>
        <v>2018</v>
      </c>
      <c r="D74" s="7" t="str">
        <f t="shared" si="7"/>
        <v>Jun</v>
      </c>
      <c r="E74" s="10">
        <v>43272</v>
      </c>
      <c r="F74" s="7" t="str">
        <f t="shared" si="8"/>
        <v>Jun</v>
      </c>
      <c r="G74" s="8" t="s">
        <v>490</v>
      </c>
      <c r="H74" s="8" t="s">
        <v>625</v>
      </c>
      <c r="I74" s="8" t="s">
        <v>626</v>
      </c>
      <c r="J74" s="8" t="s">
        <v>627</v>
      </c>
      <c r="K74" s="8" t="s">
        <v>20</v>
      </c>
      <c r="L74" s="8" t="s">
        <v>628</v>
      </c>
      <c r="M74" s="8" t="s">
        <v>629</v>
      </c>
      <c r="N74" s="8" t="s">
        <v>630</v>
      </c>
      <c r="O74" s="8"/>
      <c r="P74" s="8"/>
      <c r="Q74" s="8"/>
      <c r="R74" s="8"/>
      <c r="S74" s="8" t="s">
        <v>631</v>
      </c>
      <c r="T74" s="6" t="str">
        <f t="shared" si="9"/>
        <v>No Progress</v>
      </c>
      <c r="U74" s="8" t="s">
        <v>632</v>
      </c>
      <c r="V74" t="str">
        <f t="shared" si="10"/>
        <v>www.f6s.com</v>
      </c>
      <c r="W74" s="8" t="s">
        <v>633</v>
      </c>
      <c r="X74" t="str">
        <f t="shared" si="11"/>
        <v>Positive</v>
      </c>
    </row>
    <row r="75" spans="1:24" x14ac:dyDescent="0.3">
      <c r="A75" s="6">
        <v>74</v>
      </c>
      <c r="B75" s="13">
        <v>43257</v>
      </c>
      <c r="C75" s="7" t="str">
        <f t="shared" si="6"/>
        <v>2018</v>
      </c>
      <c r="D75" s="7" t="str">
        <f t="shared" si="7"/>
        <v>Jun</v>
      </c>
      <c r="E75" s="13">
        <v>43257</v>
      </c>
      <c r="F75" s="7" t="str">
        <f t="shared" si="8"/>
        <v>Jun</v>
      </c>
      <c r="G75" s="11" t="s">
        <v>181</v>
      </c>
      <c r="H75" s="11" t="s">
        <v>634</v>
      </c>
      <c r="I75" s="11" t="s">
        <v>330</v>
      </c>
      <c r="J75" s="11" t="s">
        <v>635</v>
      </c>
      <c r="K75" s="11" t="s">
        <v>20</v>
      </c>
      <c r="L75" s="11" t="s">
        <v>636</v>
      </c>
      <c r="M75" s="11" t="s">
        <v>637</v>
      </c>
      <c r="N75" s="11"/>
      <c r="O75" s="11"/>
      <c r="P75" s="37"/>
      <c r="Q75" s="11" t="s">
        <v>638</v>
      </c>
      <c r="R75" s="11" t="s">
        <v>639</v>
      </c>
      <c r="S75" s="11" t="s">
        <v>640</v>
      </c>
      <c r="T75" s="6" t="str">
        <f t="shared" si="9"/>
        <v>Cold</v>
      </c>
      <c r="U75" s="11" t="s">
        <v>641</v>
      </c>
      <c r="V75" t="str">
        <f t="shared" si="10"/>
        <v>www.f6s.com</v>
      </c>
      <c r="W75" s="11" t="s">
        <v>642</v>
      </c>
      <c r="X75" t="str">
        <f t="shared" si="11"/>
        <v>Neutral</v>
      </c>
    </row>
    <row r="76" spans="1:24" x14ac:dyDescent="0.3">
      <c r="A76" s="6">
        <v>75</v>
      </c>
      <c r="B76" s="10">
        <v>43257</v>
      </c>
      <c r="C76" s="7" t="str">
        <f t="shared" si="6"/>
        <v>2018</v>
      </c>
      <c r="D76" s="7" t="str">
        <f t="shared" si="7"/>
        <v>Jun</v>
      </c>
      <c r="E76" s="10">
        <v>43270</v>
      </c>
      <c r="F76" s="7" t="str">
        <f t="shared" si="8"/>
        <v>Jun</v>
      </c>
      <c r="G76" s="8" t="s">
        <v>643</v>
      </c>
      <c r="H76" s="8" t="s">
        <v>644</v>
      </c>
      <c r="I76" s="8" t="s">
        <v>155</v>
      </c>
      <c r="J76" s="8" t="s">
        <v>645</v>
      </c>
      <c r="K76" s="8" t="s">
        <v>20</v>
      </c>
      <c r="L76" s="8" t="s">
        <v>646</v>
      </c>
      <c r="M76" s="8" t="s">
        <v>647</v>
      </c>
      <c r="N76" s="8" t="s">
        <v>648</v>
      </c>
      <c r="O76" s="8"/>
      <c r="P76" s="8"/>
      <c r="Q76" s="8" t="s">
        <v>649</v>
      </c>
      <c r="R76" s="8"/>
      <c r="S76" s="8" t="s">
        <v>650</v>
      </c>
      <c r="T76" s="6" t="str">
        <f t="shared" si="9"/>
        <v>No Progress</v>
      </c>
      <c r="U76" s="8" t="s">
        <v>651</v>
      </c>
      <c r="V76" t="str">
        <f t="shared" si="10"/>
        <v>www.f6s.com</v>
      </c>
      <c r="W76" s="8" t="s">
        <v>652</v>
      </c>
      <c r="X76" t="str">
        <f t="shared" si="11"/>
        <v>Neutral</v>
      </c>
    </row>
    <row r="77" spans="1:24" x14ac:dyDescent="0.3">
      <c r="A77" s="6">
        <v>76</v>
      </c>
      <c r="B77" s="10">
        <v>43257</v>
      </c>
      <c r="C77" s="7" t="str">
        <f t="shared" si="6"/>
        <v>2018</v>
      </c>
      <c r="D77" s="7" t="str">
        <f t="shared" si="7"/>
        <v>Jun</v>
      </c>
      <c r="E77" s="10">
        <v>43270</v>
      </c>
      <c r="F77" s="7" t="str">
        <f t="shared" si="8"/>
        <v>Jun</v>
      </c>
      <c r="G77" s="8" t="s">
        <v>32</v>
      </c>
      <c r="H77" s="8" t="s">
        <v>653</v>
      </c>
      <c r="I77" s="8" t="s">
        <v>330</v>
      </c>
      <c r="J77" s="8" t="s">
        <v>654</v>
      </c>
      <c r="K77" s="8" t="s">
        <v>20</v>
      </c>
      <c r="L77" s="8" t="s">
        <v>655</v>
      </c>
      <c r="M77" s="8"/>
      <c r="N77" s="8" t="s">
        <v>656</v>
      </c>
      <c r="O77" s="8"/>
      <c r="P77" s="8"/>
      <c r="Q77" s="8"/>
      <c r="R77" s="8"/>
      <c r="S77" s="8" t="s">
        <v>622</v>
      </c>
      <c r="T77" s="6" t="str">
        <f t="shared" si="9"/>
        <v>No Progress</v>
      </c>
      <c r="U77" s="8" t="s">
        <v>657</v>
      </c>
      <c r="V77" t="str">
        <f t="shared" si="10"/>
        <v>www.f6s.com</v>
      </c>
      <c r="W77" s="8" t="s">
        <v>658</v>
      </c>
      <c r="X77" t="str">
        <f t="shared" si="11"/>
        <v>Neutral</v>
      </c>
    </row>
    <row r="78" spans="1:24" x14ac:dyDescent="0.3">
      <c r="A78" s="6">
        <v>77</v>
      </c>
      <c r="B78" s="10">
        <v>43257</v>
      </c>
      <c r="C78" s="7" t="str">
        <f t="shared" si="6"/>
        <v>2018</v>
      </c>
      <c r="D78" s="7" t="str">
        <f t="shared" si="7"/>
        <v>Jun</v>
      </c>
      <c r="E78" s="10">
        <v>43270</v>
      </c>
      <c r="F78" s="7" t="str">
        <f t="shared" si="8"/>
        <v>Jun</v>
      </c>
      <c r="G78" s="8" t="s">
        <v>659</v>
      </c>
      <c r="H78" s="8" t="s">
        <v>660</v>
      </c>
      <c r="I78" s="8" t="s">
        <v>427</v>
      </c>
      <c r="J78" s="8" t="s">
        <v>661</v>
      </c>
      <c r="K78" s="8" t="s">
        <v>20</v>
      </c>
      <c r="L78" s="8" t="s">
        <v>662</v>
      </c>
      <c r="M78" s="8" t="s">
        <v>663</v>
      </c>
      <c r="N78" s="8" t="s">
        <v>664</v>
      </c>
      <c r="O78" s="8"/>
      <c r="P78" s="8"/>
      <c r="Q78" s="8" t="s">
        <v>665</v>
      </c>
      <c r="R78" s="8"/>
      <c r="S78" s="8" t="s">
        <v>666</v>
      </c>
      <c r="T78" s="6" t="str">
        <f t="shared" si="9"/>
        <v>No Progress</v>
      </c>
      <c r="U78" s="8" t="s">
        <v>667</v>
      </c>
      <c r="V78" t="str">
        <f t="shared" si="10"/>
        <v>www.f6s.com</v>
      </c>
      <c r="W78" s="8" t="s">
        <v>668</v>
      </c>
      <c r="X78" t="str">
        <f t="shared" si="11"/>
        <v>Neutral</v>
      </c>
    </row>
    <row r="79" spans="1:24" x14ac:dyDescent="0.3">
      <c r="A79" s="6">
        <v>78</v>
      </c>
      <c r="B79" s="10">
        <v>43265</v>
      </c>
      <c r="C79" s="7" t="str">
        <f t="shared" si="6"/>
        <v>2018</v>
      </c>
      <c r="D79" s="7" t="str">
        <f t="shared" si="7"/>
        <v>Jun</v>
      </c>
      <c r="E79" s="10">
        <v>43270</v>
      </c>
      <c r="F79" s="7" t="str">
        <f t="shared" si="8"/>
        <v>Jun</v>
      </c>
      <c r="G79" s="8" t="s">
        <v>32</v>
      </c>
      <c r="H79" s="8" t="s">
        <v>669</v>
      </c>
      <c r="I79" s="8" t="s">
        <v>330</v>
      </c>
      <c r="J79" s="8" t="s">
        <v>670</v>
      </c>
      <c r="K79" s="8" t="s">
        <v>20</v>
      </c>
      <c r="L79" s="8" t="s">
        <v>671</v>
      </c>
      <c r="M79" s="8"/>
      <c r="N79" s="8" t="s">
        <v>672</v>
      </c>
      <c r="O79" s="8"/>
      <c r="P79" s="8"/>
      <c r="Q79" s="8"/>
      <c r="R79" s="8"/>
      <c r="S79" s="8" t="s">
        <v>673</v>
      </c>
      <c r="T79" s="6" t="str">
        <f t="shared" si="9"/>
        <v>No Progress</v>
      </c>
      <c r="U79" s="8" t="s">
        <v>674</v>
      </c>
      <c r="V79" t="str">
        <f t="shared" si="10"/>
        <v>www.techinasia.com</v>
      </c>
      <c r="W79" s="8" t="s">
        <v>675</v>
      </c>
      <c r="X79" t="str">
        <f t="shared" si="11"/>
        <v>Neutral</v>
      </c>
    </row>
    <row r="80" spans="1:24" x14ac:dyDescent="0.3">
      <c r="A80" s="6">
        <v>79</v>
      </c>
      <c r="B80" s="10">
        <v>43265</v>
      </c>
      <c r="C80" s="7" t="str">
        <f t="shared" si="6"/>
        <v>2018</v>
      </c>
      <c r="D80" s="7" t="str">
        <f t="shared" si="7"/>
        <v>Jun</v>
      </c>
      <c r="E80" s="10">
        <v>43270</v>
      </c>
      <c r="F80" s="7" t="str">
        <f t="shared" si="8"/>
        <v>Jun</v>
      </c>
      <c r="G80" s="8" t="s">
        <v>32</v>
      </c>
      <c r="H80" s="8" t="s">
        <v>676</v>
      </c>
      <c r="I80" s="8" t="s">
        <v>677</v>
      </c>
      <c r="J80" s="8" t="s">
        <v>678</v>
      </c>
      <c r="K80" s="8" t="s">
        <v>20</v>
      </c>
      <c r="L80" s="8" t="s">
        <v>679</v>
      </c>
      <c r="M80" s="8"/>
      <c r="N80" s="8" t="s">
        <v>680</v>
      </c>
      <c r="O80" s="8"/>
      <c r="P80" s="8"/>
      <c r="Q80" s="8"/>
      <c r="R80" s="8"/>
      <c r="S80" s="8" t="s">
        <v>673</v>
      </c>
      <c r="T80" s="6" t="str">
        <f t="shared" si="9"/>
        <v>No Progress</v>
      </c>
      <c r="U80" s="8" t="s">
        <v>681</v>
      </c>
      <c r="V80" t="str">
        <f t="shared" si="10"/>
        <v>www.techinasia.com</v>
      </c>
      <c r="W80" s="8" t="s">
        <v>682</v>
      </c>
      <c r="X80" t="str">
        <f t="shared" si="11"/>
        <v>Neutral</v>
      </c>
    </row>
    <row r="81" spans="1:24" x14ac:dyDescent="0.3">
      <c r="A81" s="6">
        <v>80</v>
      </c>
      <c r="B81" s="10">
        <v>43265</v>
      </c>
      <c r="C81" s="7" t="str">
        <f t="shared" si="6"/>
        <v>2018</v>
      </c>
      <c r="D81" s="7" t="str">
        <f t="shared" si="7"/>
        <v>Jun</v>
      </c>
      <c r="E81" s="10">
        <v>43270</v>
      </c>
      <c r="F81" s="7" t="str">
        <f t="shared" si="8"/>
        <v>Jun</v>
      </c>
      <c r="G81" s="8" t="s">
        <v>32</v>
      </c>
      <c r="H81" s="8" t="s">
        <v>683</v>
      </c>
      <c r="I81" s="8" t="s">
        <v>330</v>
      </c>
      <c r="J81" s="8" t="s">
        <v>684</v>
      </c>
      <c r="K81" s="8" t="s">
        <v>20</v>
      </c>
      <c r="L81" s="8" t="s">
        <v>685</v>
      </c>
      <c r="M81" s="8" t="s">
        <v>686</v>
      </c>
      <c r="N81" s="8" t="s">
        <v>687</v>
      </c>
      <c r="O81" s="8"/>
      <c r="P81" s="8"/>
      <c r="Q81" s="8"/>
      <c r="R81" s="8"/>
      <c r="S81" s="8" t="s">
        <v>688</v>
      </c>
      <c r="T81" s="6" t="str">
        <f t="shared" si="9"/>
        <v>No Progress</v>
      </c>
      <c r="U81" s="8" t="s">
        <v>689</v>
      </c>
      <c r="V81" t="str">
        <f t="shared" si="10"/>
        <v>www.techinasia.com</v>
      </c>
      <c r="W81" s="8" t="s">
        <v>690</v>
      </c>
      <c r="X81" t="str">
        <f t="shared" si="11"/>
        <v>Neutral</v>
      </c>
    </row>
    <row r="82" spans="1:24" x14ac:dyDescent="0.3">
      <c r="A82" s="6">
        <v>81</v>
      </c>
      <c r="B82" s="10">
        <v>43265</v>
      </c>
      <c r="C82" s="7" t="str">
        <f t="shared" si="6"/>
        <v>2018</v>
      </c>
      <c r="D82" s="7" t="str">
        <f t="shared" si="7"/>
        <v>Jun</v>
      </c>
      <c r="E82" s="10">
        <v>43270</v>
      </c>
      <c r="F82" s="7" t="str">
        <f t="shared" si="8"/>
        <v>Jun</v>
      </c>
      <c r="G82" s="8" t="s">
        <v>32</v>
      </c>
      <c r="H82" s="8" t="s">
        <v>691</v>
      </c>
      <c r="I82" s="8" t="s">
        <v>155</v>
      </c>
      <c r="J82" s="8" t="s">
        <v>692</v>
      </c>
      <c r="K82" s="8" t="s">
        <v>20</v>
      </c>
      <c r="L82" s="8" t="s">
        <v>693</v>
      </c>
      <c r="M82" s="8"/>
      <c r="N82" s="8" t="s">
        <v>694</v>
      </c>
      <c r="O82" s="8"/>
      <c r="P82" s="8"/>
      <c r="Q82" s="8"/>
      <c r="R82" s="8"/>
      <c r="S82" s="8" t="s">
        <v>673</v>
      </c>
      <c r="T82" s="6" t="str">
        <f t="shared" si="9"/>
        <v>No Progress</v>
      </c>
      <c r="U82" s="8" t="s">
        <v>695</v>
      </c>
      <c r="V82" t="str">
        <f t="shared" si="10"/>
        <v>www.techinasia.com</v>
      </c>
      <c r="W82" s="8" t="s">
        <v>696</v>
      </c>
      <c r="X82" t="str">
        <f t="shared" si="11"/>
        <v>Neutral</v>
      </c>
    </row>
    <row r="83" spans="1:24" x14ac:dyDescent="0.3">
      <c r="A83" s="6">
        <v>82</v>
      </c>
      <c r="B83" s="13">
        <v>43265</v>
      </c>
      <c r="C83" s="7" t="str">
        <f t="shared" si="6"/>
        <v>2018</v>
      </c>
      <c r="D83" s="7" t="str">
        <f t="shared" si="7"/>
        <v>Jun</v>
      </c>
      <c r="E83" s="13">
        <v>43265</v>
      </c>
      <c r="F83" s="7" t="str">
        <f t="shared" si="8"/>
        <v>Jun</v>
      </c>
      <c r="G83" s="11" t="s">
        <v>32</v>
      </c>
      <c r="H83" s="11" t="s">
        <v>697</v>
      </c>
      <c r="I83" s="11" t="s">
        <v>204</v>
      </c>
      <c r="J83" s="11" t="s">
        <v>698</v>
      </c>
      <c r="K83" s="11" t="s">
        <v>20</v>
      </c>
      <c r="L83" s="11" t="s">
        <v>699</v>
      </c>
      <c r="M83" s="11"/>
      <c r="N83" s="11" t="s">
        <v>700</v>
      </c>
      <c r="O83" s="11"/>
      <c r="P83" s="11"/>
      <c r="Q83" s="11"/>
      <c r="R83" s="11"/>
      <c r="S83" s="11" t="s">
        <v>701</v>
      </c>
      <c r="T83" s="6" t="str">
        <f t="shared" si="9"/>
        <v>Cold</v>
      </c>
      <c r="U83" s="11" t="s">
        <v>702</v>
      </c>
      <c r="V83" t="str">
        <f t="shared" si="10"/>
        <v>www.techinasia.com</v>
      </c>
      <c r="W83" s="11" t="s">
        <v>703</v>
      </c>
      <c r="X83" t="str">
        <f t="shared" si="11"/>
        <v>Neutral</v>
      </c>
    </row>
    <row r="84" spans="1:24" x14ac:dyDescent="0.3">
      <c r="A84" s="6">
        <v>83</v>
      </c>
      <c r="B84" s="10">
        <v>43265</v>
      </c>
      <c r="C84" s="7" t="str">
        <f t="shared" si="6"/>
        <v>2018</v>
      </c>
      <c r="D84" s="7" t="str">
        <f t="shared" si="7"/>
        <v>Jun</v>
      </c>
      <c r="E84" s="10">
        <v>43270</v>
      </c>
      <c r="F84" s="7" t="str">
        <f t="shared" si="8"/>
        <v>Jun</v>
      </c>
      <c r="G84" s="8" t="s">
        <v>32</v>
      </c>
      <c r="H84" s="8" t="s">
        <v>704</v>
      </c>
      <c r="I84" s="8" t="s">
        <v>155</v>
      </c>
      <c r="J84" s="8" t="s">
        <v>705</v>
      </c>
      <c r="K84" s="8" t="s">
        <v>20</v>
      </c>
      <c r="L84" s="8" t="s">
        <v>706</v>
      </c>
      <c r="M84" s="8" t="s">
        <v>707</v>
      </c>
      <c r="N84" s="8"/>
      <c r="O84" s="8"/>
      <c r="P84" s="8"/>
      <c r="Q84" s="8" t="s">
        <v>708</v>
      </c>
      <c r="R84" s="8"/>
      <c r="S84" s="8" t="s">
        <v>709</v>
      </c>
      <c r="T84" s="6" t="str">
        <f t="shared" si="9"/>
        <v>No Progress</v>
      </c>
      <c r="U84" s="8" t="s">
        <v>710</v>
      </c>
      <c r="V84" t="str">
        <f t="shared" si="10"/>
        <v>www.techinasia.com</v>
      </c>
      <c r="W84" s="8" t="s">
        <v>711</v>
      </c>
      <c r="X84" t="str">
        <f t="shared" si="11"/>
        <v>Negative</v>
      </c>
    </row>
    <row r="85" spans="1:24" x14ac:dyDescent="0.3">
      <c r="A85" s="6">
        <v>84</v>
      </c>
      <c r="B85" s="17">
        <v>43265</v>
      </c>
      <c r="C85" s="7" t="str">
        <f t="shared" si="6"/>
        <v>2018</v>
      </c>
      <c r="D85" s="7" t="str">
        <f t="shared" si="7"/>
        <v>Jun</v>
      </c>
      <c r="E85" s="17">
        <v>43270</v>
      </c>
      <c r="F85" s="7" t="str">
        <f t="shared" si="8"/>
        <v>Jun</v>
      </c>
      <c r="G85" s="16" t="s">
        <v>712</v>
      </c>
      <c r="H85" s="16" t="s">
        <v>713</v>
      </c>
      <c r="I85" s="16" t="s">
        <v>330</v>
      </c>
      <c r="J85" s="16" t="s">
        <v>714</v>
      </c>
      <c r="K85" s="16" t="s">
        <v>20</v>
      </c>
      <c r="L85" s="16" t="s">
        <v>715</v>
      </c>
      <c r="M85" s="16"/>
      <c r="N85" s="16" t="s">
        <v>716</v>
      </c>
      <c r="O85" s="16"/>
      <c r="P85" s="16"/>
      <c r="Q85" s="16"/>
      <c r="R85" s="16"/>
      <c r="S85" s="16" t="s">
        <v>717</v>
      </c>
      <c r="T85" s="6" t="str">
        <f t="shared" si="9"/>
        <v>Warm</v>
      </c>
      <c r="U85" s="16" t="s">
        <v>718</v>
      </c>
      <c r="V85" t="str">
        <f t="shared" si="10"/>
        <v>www.f6s.com</v>
      </c>
      <c r="W85" s="16" t="s">
        <v>719</v>
      </c>
      <c r="X85" t="str">
        <f t="shared" si="11"/>
        <v>Neutral</v>
      </c>
    </row>
    <row r="86" spans="1:24" ht="28.8" x14ac:dyDescent="0.3">
      <c r="A86" s="6">
        <v>85</v>
      </c>
      <c r="B86" s="10">
        <v>43265</v>
      </c>
      <c r="C86" s="7" t="str">
        <f t="shared" si="6"/>
        <v>2018</v>
      </c>
      <c r="D86" s="7" t="str">
        <f t="shared" si="7"/>
        <v>Jun</v>
      </c>
      <c r="E86" s="10">
        <v>43265</v>
      </c>
      <c r="F86" s="7" t="str">
        <f t="shared" si="8"/>
        <v>Jun</v>
      </c>
      <c r="G86" s="8" t="s">
        <v>434</v>
      </c>
      <c r="H86" s="8" t="s">
        <v>720</v>
      </c>
      <c r="I86" s="8" t="s">
        <v>155</v>
      </c>
      <c r="J86" s="8"/>
      <c r="K86" s="8" t="s">
        <v>20</v>
      </c>
      <c r="L86" s="33" t="s">
        <v>721</v>
      </c>
      <c r="M86" s="8"/>
      <c r="N86" s="8"/>
      <c r="O86" s="8"/>
      <c r="P86" s="8"/>
      <c r="Q86" s="8"/>
      <c r="R86" s="8"/>
      <c r="S86" s="8" t="s">
        <v>722</v>
      </c>
      <c r="T86" s="6" t="str">
        <f t="shared" si="9"/>
        <v>No Progress</v>
      </c>
      <c r="U86" s="8" t="s">
        <v>723</v>
      </c>
      <c r="V86" t="str">
        <f t="shared" si="10"/>
        <v>www.f6s.com</v>
      </c>
      <c r="W86" s="8" t="s">
        <v>724</v>
      </c>
      <c r="X86" t="str">
        <f t="shared" si="11"/>
        <v>Neutral</v>
      </c>
    </row>
    <row r="87" spans="1:24" x14ac:dyDescent="0.3">
      <c r="A87" s="6">
        <v>86</v>
      </c>
      <c r="B87" s="10">
        <v>43265</v>
      </c>
      <c r="C87" s="7" t="str">
        <f t="shared" si="6"/>
        <v>2018</v>
      </c>
      <c r="D87" s="7" t="str">
        <f t="shared" si="7"/>
        <v>Jun</v>
      </c>
      <c r="E87" s="10">
        <v>43270</v>
      </c>
      <c r="F87" s="7" t="str">
        <f t="shared" si="8"/>
        <v>Jun</v>
      </c>
      <c r="G87" s="8" t="s">
        <v>191</v>
      </c>
      <c r="H87" s="8" t="s">
        <v>725</v>
      </c>
      <c r="I87" s="8" t="s">
        <v>330</v>
      </c>
      <c r="J87" s="8" t="s">
        <v>726</v>
      </c>
      <c r="K87" s="8" t="s">
        <v>20</v>
      </c>
      <c r="L87" s="8" t="s">
        <v>727</v>
      </c>
      <c r="M87" s="8"/>
      <c r="N87" s="8" t="s">
        <v>728</v>
      </c>
      <c r="O87" s="8"/>
      <c r="P87" s="8"/>
      <c r="Q87" s="8" t="s">
        <v>729</v>
      </c>
      <c r="R87" s="8"/>
      <c r="S87" s="8" t="s">
        <v>673</v>
      </c>
      <c r="T87" s="6" t="str">
        <f t="shared" si="9"/>
        <v>No Progress</v>
      </c>
      <c r="U87" s="8" t="s">
        <v>730</v>
      </c>
      <c r="V87" t="str">
        <f t="shared" si="10"/>
        <v>www.f6s.com</v>
      </c>
      <c r="W87" s="8" t="s">
        <v>731</v>
      </c>
      <c r="X87" t="str">
        <f t="shared" si="11"/>
        <v>Neutral</v>
      </c>
    </row>
    <row r="88" spans="1:24" x14ac:dyDescent="0.3">
      <c r="A88" s="6">
        <v>87</v>
      </c>
      <c r="B88" s="10">
        <v>43265</v>
      </c>
      <c r="C88" s="7" t="str">
        <f t="shared" si="6"/>
        <v>2018</v>
      </c>
      <c r="D88" s="7" t="str">
        <f t="shared" si="7"/>
        <v>Jun</v>
      </c>
      <c r="E88" s="10">
        <v>43270</v>
      </c>
      <c r="F88" s="7" t="str">
        <f t="shared" si="8"/>
        <v>Jun</v>
      </c>
      <c r="G88" s="8" t="s">
        <v>490</v>
      </c>
      <c r="H88" s="8" t="s">
        <v>732</v>
      </c>
      <c r="I88" s="8" t="s">
        <v>330</v>
      </c>
      <c r="J88" s="8" t="s">
        <v>733</v>
      </c>
      <c r="K88" s="8" t="s">
        <v>20</v>
      </c>
      <c r="L88" s="8" t="s">
        <v>734</v>
      </c>
      <c r="M88" s="8"/>
      <c r="N88" s="8" t="s">
        <v>735</v>
      </c>
      <c r="O88" s="8"/>
      <c r="P88" s="8"/>
      <c r="Q88" s="8"/>
      <c r="R88" s="8"/>
      <c r="S88" s="8" t="s">
        <v>673</v>
      </c>
      <c r="T88" s="6" t="str">
        <f t="shared" si="9"/>
        <v>No Progress</v>
      </c>
      <c r="U88" s="8" t="s">
        <v>736</v>
      </c>
      <c r="V88" t="str">
        <f t="shared" si="10"/>
        <v>www.f6s.com</v>
      </c>
      <c r="W88" s="8" t="s">
        <v>737</v>
      </c>
      <c r="X88" t="str">
        <f t="shared" si="11"/>
        <v>Neutral</v>
      </c>
    </row>
    <row r="89" spans="1:24" x14ac:dyDescent="0.3">
      <c r="A89" s="6">
        <v>88</v>
      </c>
      <c r="B89" s="10">
        <v>43265</v>
      </c>
      <c r="C89" s="7" t="str">
        <f t="shared" si="6"/>
        <v>2018</v>
      </c>
      <c r="D89" s="7" t="str">
        <f t="shared" si="7"/>
        <v>Jun</v>
      </c>
      <c r="E89" s="10">
        <v>43265</v>
      </c>
      <c r="F89" s="7" t="str">
        <f t="shared" si="8"/>
        <v>Jun</v>
      </c>
      <c r="G89" s="8" t="s">
        <v>553</v>
      </c>
      <c r="H89" s="8" t="s">
        <v>738</v>
      </c>
      <c r="I89" s="8"/>
      <c r="J89" s="8"/>
      <c r="K89" s="8" t="s">
        <v>20</v>
      </c>
      <c r="L89" s="8" t="s">
        <v>739</v>
      </c>
      <c r="M89" s="8"/>
      <c r="N89" s="8"/>
      <c r="O89" s="8"/>
      <c r="P89" s="8"/>
      <c r="Q89" s="8"/>
      <c r="R89" s="8"/>
      <c r="S89" s="8" t="s">
        <v>722</v>
      </c>
      <c r="T89" s="6" t="str">
        <f t="shared" si="9"/>
        <v>No Progress</v>
      </c>
      <c r="U89" s="8" t="s">
        <v>740</v>
      </c>
      <c r="V89" t="str">
        <f t="shared" si="10"/>
        <v>www.f6s.com</v>
      </c>
      <c r="W89" s="8" t="s">
        <v>741</v>
      </c>
      <c r="X89" t="str">
        <f t="shared" si="11"/>
        <v>Neutral</v>
      </c>
    </row>
    <row r="90" spans="1:24" x14ac:dyDescent="0.3">
      <c r="A90" s="6">
        <v>89</v>
      </c>
      <c r="B90" s="10">
        <v>43265</v>
      </c>
      <c r="C90" s="7" t="str">
        <f t="shared" si="6"/>
        <v>2018</v>
      </c>
      <c r="D90" s="7" t="str">
        <f t="shared" si="7"/>
        <v>Jun</v>
      </c>
      <c r="E90" s="10">
        <v>43265</v>
      </c>
      <c r="F90" s="7" t="str">
        <f t="shared" si="8"/>
        <v>Jun</v>
      </c>
      <c r="G90" s="8" t="s">
        <v>742</v>
      </c>
      <c r="H90" s="8" t="s">
        <v>743</v>
      </c>
      <c r="I90" s="8" t="s">
        <v>155</v>
      </c>
      <c r="J90" s="8" t="s">
        <v>744</v>
      </c>
      <c r="K90" s="8" t="s">
        <v>20</v>
      </c>
      <c r="L90" s="8" t="s">
        <v>745</v>
      </c>
      <c r="M90" s="8"/>
      <c r="N90" s="8"/>
      <c r="O90" s="8"/>
      <c r="P90" s="8"/>
      <c r="Q90" s="8"/>
      <c r="R90" s="8"/>
      <c r="S90" s="8" t="s">
        <v>722</v>
      </c>
      <c r="T90" s="6" t="str">
        <f t="shared" si="9"/>
        <v>No Progress</v>
      </c>
      <c r="U90" s="8" t="s">
        <v>746</v>
      </c>
      <c r="V90" t="str">
        <f t="shared" si="10"/>
        <v>www.f6s.com</v>
      </c>
      <c r="W90" s="8" t="s">
        <v>747</v>
      </c>
      <c r="X90" t="str">
        <f t="shared" si="11"/>
        <v>Neutral</v>
      </c>
    </row>
    <row r="91" spans="1:24" x14ac:dyDescent="0.3">
      <c r="A91" s="6">
        <v>90</v>
      </c>
      <c r="B91" s="10">
        <v>43265</v>
      </c>
      <c r="C91" s="7" t="str">
        <f t="shared" si="6"/>
        <v>2018</v>
      </c>
      <c r="D91" s="7" t="str">
        <f t="shared" si="7"/>
        <v>Jun</v>
      </c>
      <c r="E91" s="10">
        <v>43270</v>
      </c>
      <c r="F91" s="7" t="str">
        <f t="shared" si="8"/>
        <v>Jun</v>
      </c>
      <c r="G91" s="8" t="s">
        <v>748</v>
      </c>
      <c r="H91" s="8" t="s">
        <v>749</v>
      </c>
      <c r="I91" s="8" t="s">
        <v>330</v>
      </c>
      <c r="J91" s="8" t="s">
        <v>750</v>
      </c>
      <c r="K91" s="8" t="s">
        <v>20</v>
      </c>
      <c r="L91" s="8" t="s">
        <v>751</v>
      </c>
      <c r="M91" s="8"/>
      <c r="N91" s="8" t="s">
        <v>752</v>
      </c>
      <c r="O91" s="8"/>
      <c r="P91" s="8"/>
      <c r="Q91" s="8"/>
      <c r="R91" s="8"/>
      <c r="S91" s="8" t="s">
        <v>753</v>
      </c>
      <c r="T91" s="6" t="str">
        <f t="shared" si="9"/>
        <v>No Progress</v>
      </c>
      <c r="U91" s="8" t="s">
        <v>754</v>
      </c>
      <c r="V91" t="str">
        <f t="shared" si="10"/>
        <v>www.f6s.com</v>
      </c>
      <c r="W91" s="8" t="s">
        <v>755</v>
      </c>
      <c r="X91" t="str">
        <f t="shared" si="11"/>
        <v>Neutral</v>
      </c>
    </row>
    <row r="92" spans="1:24" x14ac:dyDescent="0.3">
      <c r="A92" s="6">
        <v>91</v>
      </c>
      <c r="B92" s="61">
        <v>43266</v>
      </c>
      <c r="C92" s="7" t="str">
        <f t="shared" si="6"/>
        <v>2018</v>
      </c>
      <c r="D92" s="7" t="str">
        <f t="shared" si="7"/>
        <v>Jun</v>
      </c>
      <c r="E92" s="61">
        <v>43273</v>
      </c>
      <c r="F92" s="7" t="str">
        <f t="shared" si="8"/>
        <v>Jun</v>
      </c>
      <c r="G92" s="60" t="s">
        <v>756</v>
      </c>
      <c r="H92" s="60" t="s">
        <v>757</v>
      </c>
      <c r="I92" s="60" t="s">
        <v>204</v>
      </c>
      <c r="J92" s="60" t="s">
        <v>758</v>
      </c>
      <c r="K92" s="60" t="s">
        <v>20</v>
      </c>
      <c r="L92" s="60" t="s">
        <v>759</v>
      </c>
      <c r="M92" s="60"/>
      <c r="N92" s="60" t="s">
        <v>760</v>
      </c>
      <c r="O92" s="60"/>
      <c r="P92" s="60"/>
      <c r="Q92" s="60" t="s">
        <v>761</v>
      </c>
      <c r="R92" s="60"/>
      <c r="S92" s="60" t="s">
        <v>762</v>
      </c>
      <c r="T92" s="6" t="str">
        <f t="shared" si="9"/>
        <v>Hot</v>
      </c>
      <c r="U92" s="60" t="s">
        <v>763</v>
      </c>
      <c r="V92" t="str">
        <f t="shared" si="10"/>
        <v>www.f6s.com</v>
      </c>
      <c r="W92" s="60" t="s">
        <v>764</v>
      </c>
      <c r="X92" t="str">
        <f t="shared" si="11"/>
        <v>Neutral</v>
      </c>
    </row>
    <row r="93" spans="1:24" x14ac:dyDescent="0.3">
      <c r="A93" s="6">
        <v>92</v>
      </c>
      <c r="B93" s="17">
        <v>43266</v>
      </c>
      <c r="C93" s="7" t="str">
        <f t="shared" si="6"/>
        <v>2018</v>
      </c>
      <c r="D93" s="7" t="str">
        <f t="shared" si="7"/>
        <v>Jun</v>
      </c>
      <c r="E93" s="17">
        <v>43269</v>
      </c>
      <c r="F93" s="7" t="str">
        <f t="shared" si="8"/>
        <v>Jun</v>
      </c>
      <c r="G93" s="16" t="s">
        <v>765</v>
      </c>
      <c r="H93" s="16" t="s">
        <v>766</v>
      </c>
      <c r="I93" s="16" t="s">
        <v>767</v>
      </c>
      <c r="J93" s="16" t="s">
        <v>768</v>
      </c>
      <c r="K93" s="16" t="s">
        <v>302</v>
      </c>
      <c r="L93" s="16" t="s">
        <v>769</v>
      </c>
      <c r="M93" s="16"/>
      <c r="N93" s="16" t="s">
        <v>770</v>
      </c>
      <c r="O93" s="16"/>
      <c r="P93" s="16"/>
      <c r="Q93" s="16" t="s">
        <v>771</v>
      </c>
      <c r="R93" s="16"/>
      <c r="S93" s="16" t="s">
        <v>772</v>
      </c>
      <c r="T93" s="6" t="str">
        <f t="shared" si="9"/>
        <v>Warm</v>
      </c>
      <c r="U93" s="16" t="s">
        <v>773</v>
      </c>
      <c r="V93" t="str">
        <f t="shared" si="10"/>
        <v>www.f6s.com</v>
      </c>
      <c r="W93" s="16" t="s">
        <v>774</v>
      </c>
      <c r="X93" t="str">
        <f t="shared" si="11"/>
        <v>Neutral</v>
      </c>
    </row>
    <row r="94" spans="1:24" x14ac:dyDescent="0.3">
      <c r="A94" s="6">
        <v>93</v>
      </c>
      <c r="B94" s="10">
        <v>43266</v>
      </c>
      <c r="C94" s="7" t="str">
        <f t="shared" si="6"/>
        <v>2018</v>
      </c>
      <c r="D94" s="7" t="str">
        <f t="shared" si="7"/>
        <v>Jun</v>
      </c>
      <c r="E94" s="10">
        <v>43270</v>
      </c>
      <c r="F94" s="7" t="str">
        <f t="shared" si="8"/>
        <v>Jun</v>
      </c>
      <c r="G94" s="8" t="s">
        <v>76</v>
      </c>
      <c r="H94" s="8" t="s">
        <v>775</v>
      </c>
      <c r="I94" s="8" t="s">
        <v>155</v>
      </c>
      <c r="J94" s="8" t="s">
        <v>776</v>
      </c>
      <c r="K94" s="8" t="s">
        <v>20</v>
      </c>
      <c r="L94" s="8" t="s">
        <v>777</v>
      </c>
      <c r="M94" s="8"/>
      <c r="N94" s="8" t="s">
        <v>778</v>
      </c>
      <c r="O94" s="8"/>
      <c r="P94" s="8"/>
      <c r="Q94" s="8"/>
      <c r="R94" s="8"/>
      <c r="S94" s="8" t="s">
        <v>753</v>
      </c>
      <c r="T94" s="6" t="str">
        <f t="shared" si="9"/>
        <v>No Progress</v>
      </c>
      <c r="U94" s="8" t="s">
        <v>779</v>
      </c>
      <c r="V94" t="str">
        <f t="shared" si="10"/>
        <v>www.f6s.com</v>
      </c>
      <c r="W94" s="8" t="s">
        <v>780</v>
      </c>
      <c r="X94" t="str">
        <f t="shared" si="11"/>
        <v>Neutral</v>
      </c>
    </row>
    <row r="95" spans="1:24" x14ac:dyDescent="0.3">
      <c r="A95" s="6">
        <v>94</v>
      </c>
      <c r="B95" s="10">
        <v>43266</v>
      </c>
      <c r="C95" s="7" t="str">
        <f t="shared" si="6"/>
        <v>2018</v>
      </c>
      <c r="D95" s="7" t="str">
        <f t="shared" si="7"/>
        <v>Jun</v>
      </c>
      <c r="E95" s="10">
        <v>43270</v>
      </c>
      <c r="F95" s="7" t="str">
        <f t="shared" si="8"/>
        <v>Jun</v>
      </c>
      <c r="G95" s="8" t="s">
        <v>490</v>
      </c>
      <c r="H95" s="8" t="s">
        <v>579</v>
      </c>
      <c r="I95" s="8" t="s">
        <v>580</v>
      </c>
      <c r="J95" s="8" t="s">
        <v>581</v>
      </c>
      <c r="K95" s="8" t="s">
        <v>20</v>
      </c>
      <c r="L95" s="8" t="s">
        <v>582</v>
      </c>
      <c r="M95" s="8"/>
      <c r="N95" s="8" t="s">
        <v>781</v>
      </c>
      <c r="O95" s="8"/>
      <c r="P95" s="8"/>
      <c r="Q95" s="8"/>
      <c r="R95" s="8"/>
      <c r="S95" s="8" t="s">
        <v>753</v>
      </c>
      <c r="T95" s="6" t="str">
        <f t="shared" si="9"/>
        <v>No Progress</v>
      </c>
      <c r="U95" s="8" t="s">
        <v>585</v>
      </c>
      <c r="V95" t="str">
        <f t="shared" si="10"/>
        <v>www.f6s.com</v>
      </c>
      <c r="W95" s="8" t="s">
        <v>586</v>
      </c>
      <c r="X95" t="str">
        <f t="shared" si="11"/>
        <v>Neutral</v>
      </c>
    </row>
    <row r="96" spans="1:24" x14ac:dyDescent="0.3">
      <c r="A96" s="6">
        <v>95</v>
      </c>
      <c r="B96" s="10">
        <v>43266</v>
      </c>
      <c r="C96" s="7" t="str">
        <f t="shared" si="6"/>
        <v>2018</v>
      </c>
      <c r="D96" s="7" t="str">
        <f t="shared" si="7"/>
        <v>Jun</v>
      </c>
      <c r="E96" s="10">
        <v>43266</v>
      </c>
      <c r="F96" s="7" t="str">
        <f t="shared" si="8"/>
        <v>Jun</v>
      </c>
      <c r="G96" s="8" t="s">
        <v>490</v>
      </c>
      <c r="H96" s="8" t="s">
        <v>782</v>
      </c>
      <c r="I96" s="8" t="s">
        <v>155</v>
      </c>
      <c r="J96" s="8" t="s">
        <v>783</v>
      </c>
      <c r="K96" s="8" t="s">
        <v>302</v>
      </c>
      <c r="L96" s="8" t="s">
        <v>784</v>
      </c>
      <c r="M96" s="8"/>
      <c r="N96" s="8" t="s">
        <v>785</v>
      </c>
      <c r="O96" s="8"/>
      <c r="P96" s="8"/>
      <c r="Q96" s="8"/>
      <c r="R96" s="8"/>
      <c r="S96" s="8" t="s">
        <v>786</v>
      </c>
      <c r="T96" s="6" t="str">
        <f t="shared" si="9"/>
        <v>No Progress</v>
      </c>
      <c r="U96" s="8" t="s">
        <v>787</v>
      </c>
      <c r="V96" t="str">
        <f t="shared" si="10"/>
        <v>angel.co</v>
      </c>
      <c r="W96" s="8" t="s">
        <v>788</v>
      </c>
      <c r="X96" t="str">
        <f t="shared" si="11"/>
        <v>Neutral</v>
      </c>
    </row>
    <row r="97" spans="1:24" x14ac:dyDescent="0.3">
      <c r="A97" s="6">
        <v>96</v>
      </c>
      <c r="B97" s="61">
        <v>43266</v>
      </c>
      <c r="C97" s="7" t="str">
        <f t="shared" si="6"/>
        <v>2018</v>
      </c>
      <c r="D97" s="7" t="str">
        <f t="shared" si="7"/>
        <v>Jun</v>
      </c>
      <c r="E97" s="61">
        <v>43266</v>
      </c>
      <c r="F97" s="7" t="str">
        <f t="shared" si="8"/>
        <v>Jun</v>
      </c>
      <c r="G97" s="60" t="s">
        <v>93</v>
      </c>
      <c r="H97" s="60" t="s">
        <v>789</v>
      </c>
      <c r="I97" s="60" t="s">
        <v>204</v>
      </c>
      <c r="J97" s="60" t="s">
        <v>790</v>
      </c>
      <c r="K97" s="60" t="s">
        <v>20</v>
      </c>
      <c r="L97" s="60" t="s">
        <v>791</v>
      </c>
      <c r="M97" s="60"/>
      <c r="N97" s="60" t="s">
        <v>792</v>
      </c>
      <c r="O97" s="60"/>
      <c r="P97" s="60"/>
      <c r="Q97" s="66" t="s">
        <v>793</v>
      </c>
      <c r="R97" s="60"/>
      <c r="S97" s="60" t="s">
        <v>794</v>
      </c>
      <c r="T97" s="6" t="str">
        <f t="shared" si="9"/>
        <v>Hot</v>
      </c>
      <c r="U97" s="60" t="s">
        <v>795</v>
      </c>
      <c r="V97" t="str">
        <f t="shared" si="10"/>
        <v>angel.co</v>
      </c>
      <c r="W97" s="60" t="s">
        <v>796</v>
      </c>
      <c r="X97" t="str">
        <f t="shared" si="11"/>
        <v>Neutral</v>
      </c>
    </row>
    <row r="98" spans="1:24" x14ac:dyDescent="0.3">
      <c r="A98" s="6">
        <v>97</v>
      </c>
      <c r="B98" s="10">
        <v>43266</v>
      </c>
      <c r="C98" s="7" t="str">
        <f t="shared" si="6"/>
        <v>2018</v>
      </c>
      <c r="D98" s="7" t="str">
        <f t="shared" si="7"/>
        <v>Jun</v>
      </c>
      <c r="E98" s="10">
        <v>43266</v>
      </c>
      <c r="F98" s="7" t="str">
        <f t="shared" si="8"/>
        <v>Jun</v>
      </c>
      <c r="G98" s="8" t="s">
        <v>659</v>
      </c>
      <c r="H98" s="8" t="s">
        <v>797</v>
      </c>
      <c r="I98" s="8" t="s">
        <v>105</v>
      </c>
      <c r="J98" s="8" t="s">
        <v>798</v>
      </c>
      <c r="K98" s="8" t="s">
        <v>20</v>
      </c>
      <c r="L98" s="8" t="s">
        <v>799</v>
      </c>
      <c r="M98" s="8" t="s">
        <v>800</v>
      </c>
      <c r="N98" s="8" t="s">
        <v>801</v>
      </c>
      <c r="O98" s="8"/>
      <c r="P98" s="8"/>
      <c r="Q98" s="8" t="s">
        <v>802</v>
      </c>
      <c r="R98" s="8"/>
      <c r="S98" s="8" t="s">
        <v>786</v>
      </c>
      <c r="T98" s="6" t="str">
        <f t="shared" si="9"/>
        <v>No Progress</v>
      </c>
      <c r="U98" s="8" t="s">
        <v>803</v>
      </c>
      <c r="V98" t="str">
        <f t="shared" si="10"/>
        <v>angel.co</v>
      </c>
      <c r="W98" s="8" t="s">
        <v>804</v>
      </c>
      <c r="X98" t="str">
        <f t="shared" si="11"/>
        <v>Neutral</v>
      </c>
    </row>
    <row r="99" spans="1:24" x14ac:dyDescent="0.3">
      <c r="A99" s="6">
        <v>98</v>
      </c>
      <c r="B99" s="10">
        <v>43266</v>
      </c>
      <c r="C99" s="7" t="str">
        <f t="shared" si="6"/>
        <v>2018</v>
      </c>
      <c r="D99" s="7" t="str">
        <f t="shared" si="7"/>
        <v>Jun</v>
      </c>
      <c r="E99" s="10">
        <v>43270</v>
      </c>
      <c r="F99" s="7" t="str">
        <f t="shared" si="8"/>
        <v>Jun</v>
      </c>
      <c r="G99" s="8" t="s">
        <v>93</v>
      </c>
      <c r="H99" s="8" t="s">
        <v>805</v>
      </c>
      <c r="I99" s="8" t="s">
        <v>105</v>
      </c>
      <c r="J99" s="8"/>
      <c r="K99" s="8" t="s">
        <v>20</v>
      </c>
      <c r="L99" s="8" t="s">
        <v>806</v>
      </c>
      <c r="M99" s="8"/>
      <c r="N99" s="8" t="s">
        <v>807</v>
      </c>
      <c r="O99" s="8"/>
      <c r="P99" s="8"/>
      <c r="Q99" s="8"/>
      <c r="R99" s="8"/>
      <c r="S99" s="8" t="s">
        <v>753</v>
      </c>
      <c r="T99" s="6" t="str">
        <f t="shared" si="9"/>
        <v>No Progress</v>
      </c>
      <c r="U99" s="8" t="s">
        <v>808</v>
      </c>
      <c r="V99" t="str">
        <f t="shared" si="10"/>
        <v>angel.co</v>
      </c>
      <c r="W99" s="8"/>
      <c r="X99" t="str">
        <f t="shared" si="11"/>
        <v>Neutral</v>
      </c>
    </row>
    <row r="100" spans="1:24" x14ac:dyDescent="0.3">
      <c r="A100" s="6">
        <v>99</v>
      </c>
      <c r="B100" s="10">
        <v>43266</v>
      </c>
      <c r="C100" s="7" t="str">
        <f t="shared" si="6"/>
        <v>2018</v>
      </c>
      <c r="D100" s="7" t="str">
        <f t="shared" si="7"/>
        <v>Jun</v>
      </c>
      <c r="E100" s="10">
        <v>43266</v>
      </c>
      <c r="F100" s="7" t="str">
        <f t="shared" si="8"/>
        <v>Jun</v>
      </c>
      <c r="G100" s="8" t="s">
        <v>742</v>
      </c>
      <c r="H100" s="8" t="s">
        <v>809</v>
      </c>
      <c r="I100" s="8"/>
      <c r="J100" s="8"/>
      <c r="K100" s="8" t="s">
        <v>20</v>
      </c>
      <c r="L100" s="8" t="s">
        <v>810</v>
      </c>
      <c r="M100" s="8"/>
      <c r="N100" s="8"/>
      <c r="O100" s="8"/>
      <c r="P100" s="8"/>
      <c r="Q100" s="8"/>
      <c r="R100" s="8"/>
      <c r="S100" s="8" t="s">
        <v>811</v>
      </c>
      <c r="T100" s="6" t="str">
        <f t="shared" si="9"/>
        <v>No Progress</v>
      </c>
      <c r="U100" s="8" t="s">
        <v>812</v>
      </c>
      <c r="V100" t="str">
        <f t="shared" si="10"/>
        <v>angel.co</v>
      </c>
      <c r="W100" s="8" t="s">
        <v>813</v>
      </c>
      <c r="X100" t="str">
        <f t="shared" si="11"/>
        <v>Neutral</v>
      </c>
    </row>
    <row r="101" spans="1:24" x14ac:dyDescent="0.3">
      <c r="A101" s="6">
        <v>100</v>
      </c>
      <c r="B101" s="10">
        <v>43266</v>
      </c>
      <c r="C101" s="7" t="str">
        <f t="shared" si="6"/>
        <v>2018</v>
      </c>
      <c r="D101" s="7" t="str">
        <f t="shared" si="7"/>
        <v>Jun</v>
      </c>
      <c r="E101" s="10">
        <v>43270</v>
      </c>
      <c r="F101" s="7" t="str">
        <f t="shared" si="8"/>
        <v>Jun</v>
      </c>
      <c r="G101" s="8" t="s">
        <v>712</v>
      </c>
      <c r="H101" s="8" t="s">
        <v>814</v>
      </c>
      <c r="I101" s="8" t="s">
        <v>815</v>
      </c>
      <c r="J101" s="8" t="s">
        <v>816</v>
      </c>
      <c r="K101" s="8" t="s">
        <v>20</v>
      </c>
      <c r="L101" s="8" t="s">
        <v>817</v>
      </c>
      <c r="M101" s="8"/>
      <c r="N101" s="8" t="s">
        <v>818</v>
      </c>
      <c r="O101" s="8"/>
      <c r="P101" s="8"/>
      <c r="Q101" s="8"/>
      <c r="R101" s="8"/>
      <c r="S101" s="8" t="s">
        <v>753</v>
      </c>
      <c r="T101" s="6" t="str">
        <f t="shared" si="9"/>
        <v>No Progress</v>
      </c>
      <c r="U101" s="8" t="s">
        <v>819</v>
      </c>
      <c r="V101" t="str">
        <f t="shared" si="10"/>
        <v>angel.co</v>
      </c>
      <c r="W101" s="8"/>
      <c r="X101" t="str">
        <f t="shared" si="11"/>
        <v>Neutral</v>
      </c>
    </row>
    <row r="102" spans="1:24" x14ac:dyDescent="0.3">
      <c r="A102" s="6">
        <v>101</v>
      </c>
      <c r="B102" s="10">
        <v>43266</v>
      </c>
      <c r="C102" s="7" t="str">
        <f t="shared" si="6"/>
        <v>2018</v>
      </c>
      <c r="D102" s="7" t="str">
        <f t="shared" si="7"/>
        <v>Jun</v>
      </c>
      <c r="E102" s="10">
        <v>43270</v>
      </c>
      <c r="F102" s="7" t="str">
        <f t="shared" si="8"/>
        <v>Jun</v>
      </c>
      <c r="G102" s="8" t="s">
        <v>76</v>
      </c>
      <c r="H102" s="8" t="s">
        <v>820</v>
      </c>
      <c r="I102" s="8" t="s">
        <v>330</v>
      </c>
      <c r="J102" s="8" t="s">
        <v>821</v>
      </c>
      <c r="K102" s="8" t="s">
        <v>20</v>
      </c>
      <c r="L102" s="8" t="s">
        <v>822</v>
      </c>
      <c r="M102" s="8"/>
      <c r="N102" s="8" t="s">
        <v>823</v>
      </c>
      <c r="O102" s="8"/>
      <c r="P102" s="8"/>
      <c r="Q102" s="8" t="s">
        <v>824</v>
      </c>
      <c r="R102" s="8"/>
      <c r="S102" s="8" t="s">
        <v>753</v>
      </c>
      <c r="T102" s="6" t="str">
        <f t="shared" si="9"/>
        <v>No Progress</v>
      </c>
      <c r="U102" s="8" t="s">
        <v>825</v>
      </c>
      <c r="V102" t="str">
        <f t="shared" si="10"/>
        <v>angel.co</v>
      </c>
      <c r="W102" s="8" t="s">
        <v>826</v>
      </c>
      <c r="X102" t="str">
        <f t="shared" si="11"/>
        <v>Neutral</v>
      </c>
    </row>
    <row r="103" spans="1:24" x14ac:dyDescent="0.3">
      <c r="A103" s="6">
        <v>102</v>
      </c>
      <c r="B103" s="10">
        <v>43266</v>
      </c>
      <c r="C103" s="7" t="str">
        <f t="shared" si="6"/>
        <v>2018</v>
      </c>
      <c r="D103" s="7" t="str">
        <f t="shared" si="7"/>
        <v>Jun</v>
      </c>
      <c r="E103" s="10">
        <v>43270</v>
      </c>
      <c r="F103" s="7" t="str">
        <f t="shared" si="8"/>
        <v>Jun</v>
      </c>
      <c r="G103" s="8" t="s">
        <v>490</v>
      </c>
      <c r="H103" s="8" t="s">
        <v>827</v>
      </c>
      <c r="I103" s="8" t="s">
        <v>155</v>
      </c>
      <c r="J103" s="8" t="s">
        <v>828</v>
      </c>
      <c r="K103" s="8" t="s">
        <v>20</v>
      </c>
      <c r="L103" s="8" t="s">
        <v>829</v>
      </c>
      <c r="M103" s="8"/>
      <c r="N103" s="8" t="s">
        <v>830</v>
      </c>
      <c r="O103" s="8"/>
      <c r="P103" s="8"/>
      <c r="Q103" s="8" t="s">
        <v>831</v>
      </c>
      <c r="R103" s="8"/>
      <c r="S103" s="8" t="s">
        <v>753</v>
      </c>
      <c r="T103" s="6" t="str">
        <f t="shared" si="9"/>
        <v>No Progress</v>
      </c>
      <c r="U103" s="8" t="s">
        <v>832</v>
      </c>
      <c r="V103" t="str">
        <f t="shared" si="10"/>
        <v>angel.co</v>
      </c>
      <c r="W103" s="8" t="s">
        <v>833</v>
      </c>
      <c r="X103" t="str">
        <f t="shared" si="11"/>
        <v>Neutral</v>
      </c>
    </row>
    <row r="104" spans="1:24" x14ac:dyDescent="0.3">
      <c r="A104" s="6">
        <v>103</v>
      </c>
      <c r="B104" s="61">
        <v>43269</v>
      </c>
      <c r="C104" s="7" t="str">
        <f t="shared" si="6"/>
        <v>2018</v>
      </c>
      <c r="D104" s="7" t="str">
        <f t="shared" si="7"/>
        <v>Jun</v>
      </c>
      <c r="E104" s="61">
        <v>43292</v>
      </c>
      <c r="F104" s="7" t="str">
        <f t="shared" si="8"/>
        <v>Jul</v>
      </c>
      <c r="G104" s="60" t="s">
        <v>32</v>
      </c>
      <c r="H104" s="60" t="s">
        <v>834</v>
      </c>
      <c r="I104" s="60" t="s">
        <v>835</v>
      </c>
      <c r="J104" s="67" t="s">
        <v>836</v>
      </c>
      <c r="K104" s="60" t="s">
        <v>20</v>
      </c>
      <c r="L104" s="60" t="s">
        <v>837</v>
      </c>
      <c r="M104" s="60"/>
      <c r="N104" s="67" t="s">
        <v>838</v>
      </c>
      <c r="O104" s="60"/>
      <c r="P104" s="60"/>
      <c r="Q104" s="60"/>
      <c r="R104" s="60"/>
      <c r="S104" s="60" t="s">
        <v>839</v>
      </c>
      <c r="T104" s="6" t="str">
        <f t="shared" si="9"/>
        <v>Hot</v>
      </c>
      <c r="U104" s="67" t="s">
        <v>840</v>
      </c>
      <c r="V104" t="str">
        <f t="shared" si="10"/>
        <v>startupjobs.asia</v>
      </c>
      <c r="W104" s="67" t="s">
        <v>841</v>
      </c>
      <c r="X104" t="str">
        <f t="shared" si="11"/>
        <v>Neutral</v>
      </c>
    </row>
    <row r="105" spans="1:24" x14ac:dyDescent="0.3">
      <c r="A105" s="6">
        <v>104</v>
      </c>
      <c r="B105" s="10">
        <v>43269</v>
      </c>
      <c r="C105" s="7" t="str">
        <f t="shared" si="6"/>
        <v>2018</v>
      </c>
      <c r="D105" s="7" t="str">
        <f t="shared" si="7"/>
        <v>Jun</v>
      </c>
      <c r="E105" s="10">
        <v>43269</v>
      </c>
      <c r="F105" s="7" t="str">
        <f t="shared" si="8"/>
        <v>Jun</v>
      </c>
      <c r="G105" s="8" t="s">
        <v>93</v>
      </c>
      <c r="H105" s="8" t="s">
        <v>842</v>
      </c>
      <c r="I105" s="8" t="s">
        <v>155</v>
      </c>
      <c r="J105" s="8" t="s">
        <v>843</v>
      </c>
      <c r="K105" s="8" t="s">
        <v>20</v>
      </c>
      <c r="L105" s="8" t="s">
        <v>844</v>
      </c>
      <c r="M105" s="8"/>
      <c r="N105" s="8" t="s">
        <v>845</v>
      </c>
      <c r="O105" s="8"/>
      <c r="P105" s="8"/>
      <c r="Q105" s="8" t="s">
        <v>846</v>
      </c>
      <c r="R105" s="8"/>
      <c r="S105" s="8" t="s">
        <v>847</v>
      </c>
      <c r="T105" s="6" t="str">
        <f t="shared" si="9"/>
        <v>No Progress</v>
      </c>
      <c r="U105" s="8" t="s">
        <v>848</v>
      </c>
      <c r="V105" t="str">
        <f t="shared" si="10"/>
        <v>startupjobs.asia</v>
      </c>
      <c r="W105" s="8" t="s">
        <v>849</v>
      </c>
      <c r="X105" t="str">
        <f t="shared" si="11"/>
        <v>Neutral</v>
      </c>
    </row>
    <row r="106" spans="1:24" x14ac:dyDescent="0.3">
      <c r="A106" s="6">
        <v>105</v>
      </c>
      <c r="B106" s="10">
        <v>43269</v>
      </c>
      <c r="C106" s="7" t="str">
        <f t="shared" si="6"/>
        <v>2018</v>
      </c>
      <c r="D106" s="7" t="str">
        <f t="shared" si="7"/>
        <v>Jun</v>
      </c>
      <c r="E106" s="10">
        <v>43272</v>
      </c>
      <c r="F106" s="7" t="str">
        <f t="shared" si="8"/>
        <v>Jun</v>
      </c>
      <c r="G106" s="8" t="s">
        <v>17</v>
      </c>
      <c r="H106" s="8" t="s">
        <v>850</v>
      </c>
      <c r="I106" s="8" t="s">
        <v>330</v>
      </c>
      <c r="J106" s="8" t="s">
        <v>851</v>
      </c>
      <c r="K106" s="8" t="s">
        <v>20</v>
      </c>
      <c r="L106" s="8" t="s">
        <v>852</v>
      </c>
      <c r="M106" s="8" t="s">
        <v>853</v>
      </c>
      <c r="N106" s="8" t="s">
        <v>854</v>
      </c>
      <c r="P106" s="8"/>
      <c r="Q106" s="8" t="s">
        <v>855</v>
      </c>
      <c r="R106" s="8"/>
      <c r="S106" s="8" t="s">
        <v>856</v>
      </c>
      <c r="T106" s="6" t="str">
        <f t="shared" si="9"/>
        <v>No Progress</v>
      </c>
      <c r="U106" s="8" t="s">
        <v>857</v>
      </c>
      <c r="V106" t="str">
        <f t="shared" si="10"/>
        <v>startupjobs.asia</v>
      </c>
      <c r="W106" s="8" t="s">
        <v>858</v>
      </c>
      <c r="X106" t="str">
        <f t="shared" si="11"/>
        <v>Neutral</v>
      </c>
    </row>
    <row r="107" spans="1:24" x14ac:dyDescent="0.3">
      <c r="A107" s="6">
        <v>106</v>
      </c>
      <c r="B107" s="10">
        <v>43269</v>
      </c>
      <c r="C107" s="7" t="str">
        <f t="shared" si="6"/>
        <v>2018</v>
      </c>
      <c r="D107" s="7" t="str">
        <f t="shared" si="7"/>
        <v>Jun</v>
      </c>
      <c r="E107" s="10">
        <v>43269</v>
      </c>
      <c r="F107" s="7" t="str">
        <f t="shared" si="8"/>
        <v>Jun</v>
      </c>
      <c r="G107" s="8" t="s">
        <v>32</v>
      </c>
      <c r="H107" s="8" t="s">
        <v>859</v>
      </c>
      <c r="I107" s="8" t="s">
        <v>155</v>
      </c>
      <c r="J107" s="8" t="s">
        <v>860</v>
      </c>
      <c r="K107" s="8" t="s">
        <v>20</v>
      </c>
      <c r="L107" s="8" t="s">
        <v>861</v>
      </c>
      <c r="M107" s="8" t="s">
        <v>862</v>
      </c>
      <c r="N107" s="8" t="s">
        <v>863</v>
      </c>
      <c r="O107" s="8"/>
      <c r="P107" s="8"/>
      <c r="Q107" s="8"/>
      <c r="R107" s="8"/>
      <c r="S107" s="8" t="s">
        <v>864</v>
      </c>
      <c r="T107" s="6" t="str">
        <f t="shared" si="9"/>
        <v>No Progress</v>
      </c>
      <c r="U107" s="8" t="s">
        <v>865</v>
      </c>
      <c r="V107" t="str">
        <f t="shared" si="10"/>
        <v>startupjobs.asia</v>
      </c>
      <c r="W107" s="8" t="s">
        <v>866</v>
      </c>
      <c r="X107" t="str">
        <f t="shared" si="11"/>
        <v>Neutral</v>
      </c>
    </row>
    <row r="108" spans="1:24" ht="28.8" x14ac:dyDescent="0.3">
      <c r="A108" s="6">
        <v>107</v>
      </c>
      <c r="B108" s="10">
        <v>43269</v>
      </c>
      <c r="C108" s="7" t="str">
        <f t="shared" si="6"/>
        <v>2018</v>
      </c>
      <c r="D108" s="7" t="str">
        <f t="shared" si="7"/>
        <v>Jun</v>
      </c>
      <c r="E108" s="10">
        <v>43269</v>
      </c>
      <c r="F108" s="7" t="str">
        <f t="shared" si="8"/>
        <v>Jun</v>
      </c>
      <c r="G108" s="8" t="s">
        <v>32</v>
      </c>
      <c r="H108" s="8" t="s">
        <v>867</v>
      </c>
      <c r="I108" s="8" t="s">
        <v>137</v>
      </c>
      <c r="J108" s="8" t="s">
        <v>868</v>
      </c>
      <c r="K108" s="8" t="s">
        <v>20</v>
      </c>
      <c r="L108" s="33" t="s">
        <v>869</v>
      </c>
      <c r="M108" s="8"/>
      <c r="N108" s="8" t="s">
        <v>870</v>
      </c>
      <c r="O108" s="8"/>
      <c r="P108" s="8"/>
      <c r="Q108" s="8" t="s">
        <v>871</v>
      </c>
      <c r="R108" s="8"/>
      <c r="S108" s="8" t="s">
        <v>847</v>
      </c>
      <c r="T108" s="6" t="str">
        <f t="shared" si="9"/>
        <v>No Progress</v>
      </c>
      <c r="U108" s="8" t="s">
        <v>872</v>
      </c>
      <c r="V108" t="str">
        <f t="shared" si="10"/>
        <v>startupjobs.asia</v>
      </c>
      <c r="W108" s="8" t="s">
        <v>873</v>
      </c>
      <c r="X108" t="str">
        <f t="shared" si="11"/>
        <v>Neutral</v>
      </c>
    </row>
    <row r="109" spans="1:24" x14ac:dyDescent="0.3">
      <c r="A109" s="6">
        <v>108</v>
      </c>
      <c r="B109" s="31">
        <v>43269</v>
      </c>
      <c r="C109" s="7" t="str">
        <f t="shared" si="6"/>
        <v>2018</v>
      </c>
      <c r="D109" s="7" t="str">
        <f t="shared" si="7"/>
        <v>Jun</v>
      </c>
      <c r="E109" s="31">
        <v>43273</v>
      </c>
      <c r="F109" s="7" t="str">
        <f t="shared" si="8"/>
        <v>Jun</v>
      </c>
      <c r="G109" s="27" t="s">
        <v>32</v>
      </c>
      <c r="H109" s="27" t="s">
        <v>874</v>
      </c>
      <c r="I109" s="27" t="s">
        <v>119</v>
      </c>
      <c r="J109" s="27" t="s">
        <v>875</v>
      </c>
      <c r="K109" s="27" t="s">
        <v>20</v>
      </c>
      <c r="L109" s="27" t="s">
        <v>876</v>
      </c>
      <c r="M109" s="27" t="s">
        <v>877</v>
      </c>
      <c r="N109" s="27" t="s">
        <v>878</v>
      </c>
      <c r="O109" s="27"/>
      <c r="P109" s="27"/>
      <c r="Q109" s="27" t="s">
        <v>879</v>
      </c>
      <c r="R109" s="27"/>
      <c r="S109" s="27" t="s">
        <v>880</v>
      </c>
      <c r="T109" s="6" t="str">
        <f t="shared" si="9"/>
        <v>No Progress</v>
      </c>
      <c r="U109" s="27" t="s">
        <v>881</v>
      </c>
      <c r="V109" t="str">
        <f t="shared" si="10"/>
        <v>www.techinasia.com</v>
      </c>
      <c r="W109" s="27" t="s">
        <v>882</v>
      </c>
      <c r="X109" t="str">
        <f t="shared" si="11"/>
        <v>Negative</v>
      </c>
    </row>
    <row r="110" spans="1:24" x14ac:dyDescent="0.3">
      <c r="A110" s="6">
        <v>109</v>
      </c>
      <c r="B110" s="61">
        <v>43269</v>
      </c>
      <c r="C110" s="7" t="str">
        <f t="shared" si="6"/>
        <v>2018</v>
      </c>
      <c r="D110" s="7" t="str">
        <f t="shared" si="7"/>
        <v>Jun</v>
      </c>
      <c r="E110" s="61">
        <v>43272</v>
      </c>
      <c r="F110" s="7" t="str">
        <f t="shared" si="8"/>
        <v>Jun</v>
      </c>
      <c r="G110" s="60" t="s">
        <v>32</v>
      </c>
      <c r="H110" s="60" t="s">
        <v>883</v>
      </c>
      <c r="I110" s="60"/>
      <c r="J110" s="60" t="s">
        <v>884</v>
      </c>
      <c r="K110" s="60"/>
      <c r="L110" s="60" t="s">
        <v>885</v>
      </c>
      <c r="M110" s="60" t="s">
        <v>886</v>
      </c>
      <c r="N110" s="60" t="s">
        <v>887</v>
      </c>
      <c r="O110" s="60"/>
      <c r="P110" s="60"/>
      <c r="Q110" s="60" t="s">
        <v>888</v>
      </c>
      <c r="R110" s="60"/>
      <c r="S110" s="60" t="s">
        <v>889</v>
      </c>
      <c r="T110" s="6" t="str">
        <f t="shared" si="9"/>
        <v>Hot</v>
      </c>
      <c r="U110" s="60" t="s">
        <v>890</v>
      </c>
      <c r="V110" t="str">
        <f t="shared" si="10"/>
        <v>www.techinasia.com</v>
      </c>
      <c r="W110" s="60"/>
      <c r="X110" t="str">
        <f t="shared" si="11"/>
        <v>Positive</v>
      </c>
    </row>
    <row r="111" spans="1:24" x14ac:dyDescent="0.3">
      <c r="A111" s="6">
        <v>110</v>
      </c>
      <c r="B111" s="10">
        <v>43269</v>
      </c>
      <c r="C111" s="7" t="str">
        <f t="shared" si="6"/>
        <v>2018</v>
      </c>
      <c r="D111" s="7" t="str">
        <f t="shared" si="7"/>
        <v>Jun</v>
      </c>
      <c r="E111" s="10">
        <v>43269</v>
      </c>
      <c r="F111" s="7" t="str">
        <f t="shared" si="8"/>
        <v>Jun</v>
      </c>
      <c r="G111" s="8" t="s">
        <v>32</v>
      </c>
      <c r="H111" s="8" t="s">
        <v>891</v>
      </c>
      <c r="I111" s="8" t="s">
        <v>330</v>
      </c>
      <c r="J111" s="8" t="s">
        <v>892</v>
      </c>
      <c r="K111" s="8" t="s">
        <v>20</v>
      </c>
      <c r="L111" s="8" t="s">
        <v>893</v>
      </c>
      <c r="M111" s="8"/>
      <c r="N111" s="8"/>
      <c r="O111" s="8"/>
      <c r="P111" s="8"/>
      <c r="Q111" s="8" t="s">
        <v>894</v>
      </c>
      <c r="R111" s="8"/>
      <c r="S111" s="8" t="s">
        <v>847</v>
      </c>
      <c r="T111" s="6" t="str">
        <f t="shared" si="9"/>
        <v>No Progress</v>
      </c>
      <c r="U111" s="8" t="s">
        <v>895</v>
      </c>
      <c r="V111" t="str">
        <f t="shared" si="10"/>
        <v>www.techinasia.com</v>
      </c>
      <c r="W111" s="8" t="s">
        <v>896</v>
      </c>
      <c r="X111" t="str">
        <f t="shared" si="11"/>
        <v>Neutral</v>
      </c>
    </row>
    <row r="112" spans="1:24" x14ac:dyDescent="0.3">
      <c r="A112" s="6">
        <v>111</v>
      </c>
      <c r="B112" s="10">
        <v>43269</v>
      </c>
      <c r="C112" s="7" t="str">
        <f t="shared" si="6"/>
        <v>2018</v>
      </c>
      <c r="D112" s="7" t="str">
        <f t="shared" si="7"/>
        <v>Jun</v>
      </c>
      <c r="E112" s="10">
        <v>43269</v>
      </c>
      <c r="F112" s="7" t="str">
        <f t="shared" si="8"/>
        <v>Jun</v>
      </c>
      <c r="G112" s="8" t="s">
        <v>32</v>
      </c>
      <c r="H112" s="8" t="s">
        <v>897</v>
      </c>
      <c r="I112" s="8" t="s">
        <v>119</v>
      </c>
      <c r="J112" s="8" t="s">
        <v>898</v>
      </c>
      <c r="K112" s="8" t="s">
        <v>20</v>
      </c>
      <c r="L112" s="8" t="s">
        <v>899</v>
      </c>
      <c r="M112" s="8"/>
      <c r="N112" s="8" t="s">
        <v>900</v>
      </c>
      <c r="O112" s="8"/>
      <c r="P112" s="8"/>
      <c r="Q112" s="8" t="s">
        <v>901</v>
      </c>
      <c r="R112" s="8"/>
      <c r="S112" s="8" t="s">
        <v>847</v>
      </c>
      <c r="T112" s="6" t="str">
        <f t="shared" si="9"/>
        <v>No Progress</v>
      </c>
      <c r="U112" s="8" t="s">
        <v>902</v>
      </c>
      <c r="V112" t="str">
        <f t="shared" si="10"/>
        <v>www.techinasia.com</v>
      </c>
      <c r="W112" s="8" t="s">
        <v>903</v>
      </c>
      <c r="X112" t="str">
        <f t="shared" si="11"/>
        <v>Neutral</v>
      </c>
    </row>
    <row r="113" spans="1:24" x14ac:dyDescent="0.3">
      <c r="A113" s="6">
        <v>112</v>
      </c>
      <c r="B113" s="10">
        <v>43269</v>
      </c>
      <c r="C113" s="7" t="str">
        <f t="shared" si="6"/>
        <v>2018</v>
      </c>
      <c r="D113" s="7" t="str">
        <f t="shared" si="7"/>
        <v>Jun</v>
      </c>
      <c r="E113" s="10">
        <v>43269</v>
      </c>
      <c r="F113" s="7" t="str">
        <f t="shared" si="8"/>
        <v>Jun</v>
      </c>
      <c r="G113" s="8" t="s">
        <v>712</v>
      </c>
      <c r="H113" s="8" t="s">
        <v>904</v>
      </c>
      <c r="I113" s="8" t="s">
        <v>119</v>
      </c>
      <c r="J113" s="8" t="s">
        <v>905</v>
      </c>
      <c r="K113" s="8" t="s">
        <v>20</v>
      </c>
      <c r="L113" s="8" t="s">
        <v>906</v>
      </c>
      <c r="M113" s="8"/>
      <c r="N113" s="8" t="s">
        <v>907</v>
      </c>
      <c r="O113" s="8"/>
      <c r="P113" s="8"/>
      <c r="Q113" s="8"/>
      <c r="R113" s="8"/>
      <c r="S113" s="8" t="s">
        <v>847</v>
      </c>
      <c r="T113" s="6" t="str">
        <f t="shared" si="9"/>
        <v>No Progress</v>
      </c>
      <c r="U113" s="8" t="s">
        <v>908</v>
      </c>
      <c r="V113" t="str">
        <f t="shared" si="10"/>
        <v>www.techinasia.com</v>
      </c>
      <c r="W113" s="8" t="s">
        <v>909</v>
      </c>
      <c r="X113" t="str">
        <f t="shared" si="11"/>
        <v>Neutral</v>
      </c>
    </row>
    <row r="114" spans="1:24" x14ac:dyDescent="0.3">
      <c r="A114" s="6">
        <v>113</v>
      </c>
      <c r="B114" s="10">
        <v>43269</v>
      </c>
      <c r="C114" s="7" t="str">
        <f t="shared" si="6"/>
        <v>2018</v>
      </c>
      <c r="D114" s="7" t="str">
        <f t="shared" si="7"/>
        <v>Jun</v>
      </c>
      <c r="E114" s="10">
        <v>43272</v>
      </c>
      <c r="F114" s="7" t="str">
        <f t="shared" si="8"/>
        <v>Jun</v>
      </c>
      <c r="G114" s="8" t="s">
        <v>32</v>
      </c>
      <c r="H114" s="8" t="s">
        <v>910</v>
      </c>
      <c r="I114" s="8" t="s">
        <v>119</v>
      </c>
      <c r="J114" s="8" t="s">
        <v>911</v>
      </c>
      <c r="K114" s="8" t="s">
        <v>20</v>
      </c>
      <c r="L114" s="8" t="s">
        <v>912</v>
      </c>
      <c r="M114" s="8" t="s">
        <v>913</v>
      </c>
      <c r="N114" s="8" t="s">
        <v>914</v>
      </c>
      <c r="O114" s="8"/>
      <c r="P114" s="8"/>
      <c r="Q114" s="8" t="s">
        <v>915</v>
      </c>
      <c r="R114" s="8"/>
      <c r="S114" s="8" t="s">
        <v>916</v>
      </c>
      <c r="T114" s="6" t="str">
        <f t="shared" si="9"/>
        <v>No Progress</v>
      </c>
      <c r="U114" t="s">
        <v>917</v>
      </c>
      <c r="V114" t="str">
        <f t="shared" si="10"/>
        <v>www.techinasia.com</v>
      </c>
      <c r="W114" s="8" t="s">
        <v>918</v>
      </c>
      <c r="X114" t="str">
        <f t="shared" si="11"/>
        <v>Neutral</v>
      </c>
    </row>
    <row r="115" spans="1:24" x14ac:dyDescent="0.3">
      <c r="A115" s="6">
        <v>114</v>
      </c>
      <c r="B115" s="10">
        <v>43269</v>
      </c>
      <c r="C115" s="7" t="str">
        <f t="shared" si="6"/>
        <v>2018</v>
      </c>
      <c r="D115" s="7" t="str">
        <f t="shared" si="7"/>
        <v>Jun</v>
      </c>
      <c r="E115" s="10">
        <v>43272</v>
      </c>
      <c r="F115" s="7" t="str">
        <f t="shared" si="8"/>
        <v>Jun</v>
      </c>
      <c r="G115" s="8" t="s">
        <v>17</v>
      </c>
      <c r="H115" s="8" t="s">
        <v>919</v>
      </c>
      <c r="I115" s="8" t="s">
        <v>155</v>
      </c>
      <c r="J115" s="8" t="s">
        <v>920</v>
      </c>
      <c r="K115" s="8" t="s">
        <v>20</v>
      </c>
      <c r="L115" s="8" t="s">
        <v>921</v>
      </c>
      <c r="M115" s="8" t="s">
        <v>922</v>
      </c>
      <c r="N115" s="8" t="s">
        <v>923</v>
      </c>
      <c r="O115" s="8"/>
      <c r="P115" s="8"/>
      <c r="Q115" s="8" t="s">
        <v>924</v>
      </c>
      <c r="R115" s="8"/>
      <c r="S115" s="8" t="s">
        <v>925</v>
      </c>
      <c r="T115" s="6" t="str">
        <f t="shared" si="9"/>
        <v>No Progress</v>
      </c>
      <c r="U115" s="8" t="s">
        <v>926</v>
      </c>
      <c r="V115" t="str">
        <f t="shared" si="10"/>
        <v>www.techinasia.com</v>
      </c>
      <c r="W115" s="8" t="s">
        <v>927</v>
      </c>
      <c r="X115" t="str">
        <f t="shared" si="11"/>
        <v>Neutral</v>
      </c>
    </row>
    <row r="116" spans="1:24" x14ac:dyDescent="0.3">
      <c r="A116" s="6">
        <v>115</v>
      </c>
      <c r="B116" s="10">
        <v>43269</v>
      </c>
      <c r="C116" s="7" t="str">
        <f t="shared" si="6"/>
        <v>2018</v>
      </c>
      <c r="D116" s="7" t="str">
        <f t="shared" si="7"/>
        <v>Jun</v>
      </c>
      <c r="E116" s="10">
        <v>43269</v>
      </c>
      <c r="F116" s="7" t="str">
        <f t="shared" si="8"/>
        <v>Jun</v>
      </c>
      <c r="G116" s="8" t="s">
        <v>32</v>
      </c>
      <c r="H116" s="8" t="s">
        <v>928</v>
      </c>
      <c r="I116" s="8" t="s">
        <v>767</v>
      </c>
      <c r="J116" s="8" t="s">
        <v>929</v>
      </c>
      <c r="K116" s="8" t="s">
        <v>20</v>
      </c>
      <c r="L116" s="8" t="s">
        <v>930</v>
      </c>
      <c r="M116" s="8"/>
      <c r="N116" s="8" t="s">
        <v>931</v>
      </c>
      <c r="O116" s="8"/>
      <c r="P116" s="8"/>
      <c r="Q116" s="8" t="s">
        <v>932</v>
      </c>
      <c r="R116" s="8"/>
      <c r="S116" s="8" t="s">
        <v>847</v>
      </c>
      <c r="T116" s="6" t="str">
        <f t="shared" si="9"/>
        <v>No Progress</v>
      </c>
      <c r="U116" s="8" t="s">
        <v>933</v>
      </c>
      <c r="V116" t="str">
        <f t="shared" si="10"/>
        <v>www.techinasia.com</v>
      </c>
      <c r="W116" s="8" t="s">
        <v>934</v>
      </c>
      <c r="X116" t="str">
        <f t="shared" si="11"/>
        <v>Neutral</v>
      </c>
    </row>
    <row r="117" spans="1:24" x14ac:dyDescent="0.3">
      <c r="A117" s="6">
        <v>116</v>
      </c>
      <c r="B117" s="13">
        <v>43269</v>
      </c>
      <c r="C117" s="7" t="str">
        <f t="shared" si="6"/>
        <v>2018</v>
      </c>
      <c r="D117" s="7" t="str">
        <f t="shared" si="7"/>
        <v>Jun</v>
      </c>
      <c r="E117" s="13">
        <v>43272</v>
      </c>
      <c r="F117" s="7" t="str">
        <f t="shared" si="8"/>
        <v>Jun</v>
      </c>
      <c r="G117" s="11" t="s">
        <v>32</v>
      </c>
      <c r="H117" s="11" t="s">
        <v>935</v>
      </c>
      <c r="I117" s="11" t="s">
        <v>204</v>
      </c>
      <c r="J117" s="11" t="s">
        <v>936</v>
      </c>
      <c r="K117" s="11" t="s">
        <v>20</v>
      </c>
      <c r="L117" s="11" t="s">
        <v>937</v>
      </c>
      <c r="M117" s="11" t="s">
        <v>938</v>
      </c>
      <c r="N117" s="11" t="s">
        <v>939</v>
      </c>
      <c r="O117" s="11"/>
      <c r="P117" s="11"/>
      <c r="Q117" s="32"/>
      <c r="R117" s="11"/>
      <c r="S117" s="11" t="s">
        <v>940</v>
      </c>
      <c r="T117" s="6" t="str">
        <f t="shared" si="9"/>
        <v>Cold</v>
      </c>
      <c r="U117" s="11" t="s">
        <v>941</v>
      </c>
      <c r="V117" t="str">
        <f t="shared" si="10"/>
        <v>www.techinasia.com</v>
      </c>
      <c r="W117" s="11" t="s">
        <v>942</v>
      </c>
      <c r="X117" t="str">
        <f t="shared" si="11"/>
        <v>Negative</v>
      </c>
    </row>
    <row r="118" spans="1:24" x14ac:dyDescent="0.3">
      <c r="A118" s="6">
        <v>117</v>
      </c>
      <c r="B118" s="17">
        <v>43269</v>
      </c>
      <c r="C118" s="7" t="str">
        <f t="shared" si="6"/>
        <v>2018</v>
      </c>
      <c r="D118" s="7" t="str">
        <f t="shared" si="7"/>
        <v>Jun</v>
      </c>
      <c r="E118" s="17">
        <v>43269</v>
      </c>
      <c r="F118" s="7" t="str">
        <f t="shared" si="8"/>
        <v>Jun</v>
      </c>
      <c r="G118" s="16" t="s">
        <v>943</v>
      </c>
      <c r="H118" s="16" t="s">
        <v>944</v>
      </c>
      <c r="I118" s="16"/>
      <c r="J118" s="16"/>
      <c r="K118" s="16" t="s">
        <v>20</v>
      </c>
      <c r="L118" s="16" t="s">
        <v>945</v>
      </c>
      <c r="M118" s="16"/>
      <c r="N118" s="16"/>
      <c r="O118" s="16"/>
      <c r="P118" s="16"/>
      <c r="Q118" s="16"/>
      <c r="R118" s="16"/>
      <c r="S118" s="16" t="s">
        <v>946</v>
      </c>
      <c r="T118" s="6" t="str">
        <f t="shared" si="9"/>
        <v>Warm</v>
      </c>
      <c r="U118" s="16" t="s">
        <v>947</v>
      </c>
      <c r="V118" t="str">
        <f t="shared" si="10"/>
        <v>www.f6s.com</v>
      </c>
      <c r="W118" s="16" t="s">
        <v>948</v>
      </c>
      <c r="X118" t="str">
        <f t="shared" si="11"/>
        <v>Neutral</v>
      </c>
    </row>
    <row r="119" spans="1:24" x14ac:dyDescent="0.3">
      <c r="A119" s="6">
        <v>118</v>
      </c>
      <c r="B119" s="13">
        <v>43269</v>
      </c>
      <c r="C119" s="7" t="str">
        <f t="shared" si="6"/>
        <v>2018</v>
      </c>
      <c r="D119" s="7" t="str">
        <f t="shared" si="7"/>
        <v>Jun</v>
      </c>
      <c r="E119" s="13">
        <v>43273</v>
      </c>
      <c r="F119" s="7" t="str">
        <f t="shared" si="8"/>
        <v>Jun</v>
      </c>
      <c r="G119" s="11" t="s">
        <v>659</v>
      </c>
      <c r="H119" s="11" t="s">
        <v>949</v>
      </c>
      <c r="I119" s="11" t="s">
        <v>155</v>
      </c>
      <c r="J119" s="11" t="s">
        <v>950</v>
      </c>
      <c r="K119" s="11" t="s">
        <v>20</v>
      </c>
      <c r="L119" s="11" t="s">
        <v>951</v>
      </c>
      <c r="M119" s="11" t="s">
        <v>952</v>
      </c>
      <c r="N119" s="11"/>
      <c r="O119" s="11"/>
      <c r="P119" s="11"/>
      <c r="Q119" s="11" t="s">
        <v>953</v>
      </c>
      <c r="R119" s="11"/>
      <c r="S119" s="11" t="s">
        <v>954</v>
      </c>
      <c r="T119" s="6" t="str">
        <f t="shared" si="9"/>
        <v>Cold</v>
      </c>
      <c r="U119" s="11" t="s">
        <v>955</v>
      </c>
      <c r="V119" t="str">
        <f t="shared" si="10"/>
        <v>www.f6s.com</v>
      </c>
      <c r="W119" s="11" t="s">
        <v>956</v>
      </c>
      <c r="X119" t="str">
        <f t="shared" si="11"/>
        <v>Neutral</v>
      </c>
    </row>
    <row r="120" spans="1:24" x14ac:dyDescent="0.3">
      <c r="A120" s="6">
        <v>119</v>
      </c>
      <c r="B120" s="10">
        <v>43269</v>
      </c>
      <c r="C120" s="7" t="str">
        <f t="shared" si="6"/>
        <v>2018</v>
      </c>
      <c r="D120" s="7" t="str">
        <f t="shared" si="7"/>
        <v>Jun</v>
      </c>
      <c r="E120" s="10">
        <v>43269</v>
      </c>
      <c r="F120" s="7" t="str">
        <f t="shared" si="8"/>
        <v>Jun</v>
      </c>
      <c r="G120" s="8" t="s">
        <v>32</v>
      </c>
      <c r="H120" s="8" t="s">
        <v>957</v>
      </c>
      <c r="I120" s="8" t="s">
        <v>204</v>
      </c>
      <c r="J120" s="8" t="s">
        <v>958</v>
      </c>
      <c r="K120" s="8" t="s">
        <v>20</v>
      </c>
      <c r="L120" s="8" t="s">
        <v>959</v>
      </c>
      <c r="M120" s="8"/>
      <c r="N120" s="8"/>
      <c r="O120" s="8"/>
      <c r="P120" s="8"/>
      <c r="Q120" s="8"/>
      <c r="R120" s="8"/>
      <c r="S120" s="8" t="s">
        <v>960</v>
      </c>
      <c r="T120" s="6" t="str">
        <f t="shared" si="9"/>
        <v>No Progress</v>
      </c>
      <c r="U120" s="8" t="s">
        <v>961</v>
      </c>
      <c r="V120" t="str">
        <f t="shared" si="10"/>
        <v>angel.co</v>
      </c>
      <c r="W120" s="8" t="s">
        <v>962</v>
      </c>
      <c r="X120" t="str">
        <f t="shared" si="11"/>
        <v>Neutral</v>
      </c>
    </row>
    <row r="121" spans="1:24" x14ac:dyDescent="0.3">
      <c r="A121" s="6">
        <v>120</v>
      </c>
      <c r="B121" s="10">
        <v>43269</v>
      </c>
      <c r="C121" s="7" t="str">
        <f t="shared" si="6"/>
        <v>2018</v>
      </c>
      <c r="D121" s="7" t="str">
        <f t="shared" si="7"/>
        <v>Jun</v>
      </c>
      <c r="E121" s="10">
        <v>43272</v>
      </c>
      <c r="F121" s="7" t="str">
        <f t="shared" si="8"/>
        <v>Jun</v>
      </c>
      <c r="G121" s="8" t="s">
        <v>76</v>
      </c>
      <c r="H121" s="8" t="s">
        <v>963</v>
      </c>
      <c r="I121" s="8" t="s">
        <v>964</v>
      </c>
      <c r="J121" s="8" t="s">
        <v>965</v>
      </c>
      <c r="K121" s="8" t="s">
        <v>20</v>
      </c>
      <c r="L121" s="8" t="s">
        <v>966</v>
      </c>
      <c r="M121" s="8" t="s">
        <v>967</v>
      </c>
      <c r="N121" s="8" t="s">
        <v>968</v>
      </c>
      <c r="O121" s="8"/>
      <c r="P121" s="8"/>
      <c r="Q121" s="8" t="s">
        <v>969</v>
      </c>
      <c r="R121" s="8"/>
      <c r="S121" s="8" t="s">
        <v>970</v>
      </c>
      <c r="T121" s="6" t="str">
        <f t="shared" si="9"/>
        <v>No Progress</v>
      </c>
      <c r="U121" s="8" t="s">
        <v>971</v>
      </c>
      <c r="V121" t="str">
        <f t="shared" si="10"/>
        <v>angel.co</v>
      </c>
      <c r="W121" s="8" t="s">
        <v>972</v>
      </c>
      <c r="X121" t="str">
        <f t="shared" si="11"/>
        <v>Negative</v>
      </c>
    </row>
    <row r="122" spans="1:24" x14ac:dyDescent="0.3">
      <c r="A122" s="6">
        <v>121</v>
      </c>
      <c r="B122" s="10">
        <v>43269</v>
      </c>
      <c r="C122" s="7" t="str">
        <f t="shared" si="6"/>
        <v>2018</v>
      </c>
      <c r="D122" s="7" t="str">
        <f t="shared" si="7"/>
        <v>Jun</v>
      </c>
      <c r="E122" s="10">
        <v>43269</v>
      </c>
      <c r="F122" s="7" t="str">
        <f t="shared" si="8"/>
        <v>Jun</v>
      </c>
      <c r="G122" s="8" t="s">
        <v>490</v>
      </c>
      <c r="H122" s="8" t="s">
        <v>973</v>
      </c>
      <c r="I122" s="8" t="s">
        <v>204</v>
      </c>
      <c r="J122" s="8" t="s">
        <v>974</v>
      </c>
      <c r="K122" s="8" t="s">
        <v>20</v>
      </c>
      <c r="L122" s="8" t="s">
        <v>975</v>
      </c>
      <c r="M122" s="8"/>
      <c r="N122" s="8"/>
      <c r="O122" s="8"/>
      <c r="P122" s="8"/>
      <c r="Q122" s="8"/>
      <c r="R122" s="8"/>
      <c r="S122" s="8" t="s">
        <v>960</v>
      </c>
      <c r="T122" s="6" t="str">
        <f t="shared" si="9"/>
        <v>No Progress</v>
      </c>
      <c r="U122" s="8" t="s">
        <v>976</v>
      </c>
      <c r="V122" t="str">
        <f t="shared" si="10"/>
        <v>angel.co</v>
      </c>
      <c r="W122" s="8" t="s">
        <v>977</v>
      </c>
      <c r="X122" t="str">
        <f t="shared" si="11"/>
        <v>Neutral</v>
      </c>
    </row>
    <row r="123" spans="1:24" x14ac:dyDescent="0.3">
      <c r="A123" s="6">
        <v>122</v>
      </c>
      <c r="B123" s="31">
        <v>43269</v>
      </c>
      <c r="C123" s="7" t="str">
        <f t="shared" si="6"/>
        <v>2018</v>
      </c>
      <c r="D123" s="7" t="str">
        <f t="shared" si="7"/>
        <v>Jun</v>
      </c>
      <c r="E123" s="31">
        <v>43270</v>
      </c>
      <c r="F123" s="7" t="str">
        <f t="shared" si="8"/>
        <v>Jun</v>
      </c>
      <c r="G123" s="27" t="s">
        <v>659</v>
      </c>
      <c r="H123" s="27" t="s">
        <v>978</v>
      </c>
      <c r="I123" s="27" t="s">
        <v>979</v>
      </c>
      <c r="J123" s="27" t="s">
        <v>980</v>
      </c>
      <c r="K123" s="27" t="s">
        <v>20</v>
      </c>
      <c r="L123" s="27" t="s">
        <v>981</v>
      </c>
      <c r="M123" s="27" t="s">
        <v>982</v>
      </c>
      <c r="N123" s="27" t="s">
        <v>983</v>
      </c>
      <c r="O123" s="27"/>
      <c r="P123" s="27"/>
      <c r="Q123" s="27" t="s">
        <v>984</v>
      </c>
      <c r="R123" s="27"/>
      <c r="S123" s="27" t="s">
        <v>985</v>
      </c>
      <c r="T123" s="6" t="str">
        <f t="shared" si="9"/>
        <v>No Progress</v>
      </c>
      <c r="U123" s="27" t="s">
        <v>986</v>
      </c>
      <c r="V123" t="str">
        <f t="shared" si="10"/>
        <v>angel.co</v>
      </c>
      <c r="W123" s="27" t="s">
        <v>987</v>
      </c>
      <c r="X123" t="str">
        <f t="shared" si="11"/>
        <v>Negative</v>
      </c>
    </row>
    <row r="124" spans="1:24" x14ac:dyDescent="0.3">
      <c r="A124" s="6">
        <v>123</v>
      </c>
      <c r="B124" s="10">
        <v>43270</v>
      </c>
      <c r="C124" s="7" t="str">
        <f t="shared" si="6"/>
        <v>2018</v>
      </c>
      <c r="D124" s="7" t="str">
        <f t="shared" si="7"/>
        <v>Jun</v>
      </c>
      <c r="E124" s="10">
        <v>43272</v>
      </c>
      <c r="F124" s="7" t="str">
        <f t="shared" si="8"/>
        <v>Jun</v>
      </c>
      <c r="G124" s="8" t="s">
        <v>17</v>
      </c>
      <c r="H124" s="8" t="s">
        <v>988</v>
      </c>
      <c r="I124" s="8" t="s">
        <v>19</v>
      </c>
      <c r="J124" s="8" t="s">
        <v>989</v>
      </c>
      <c r="K124" s="8" t="s">
        <v>20</v>
      </c>
      <c r="L124" s="8" t="s">
        <v>990</v>
      </c>
      <c r="M124" s="8" t="s">
        <v>991</v>
      </c>
      <c r="N124" s="8"/>
      <c r="O124" s="8"/>
      <c r="P124" s="8"/>
      <c r="Q124" s="8" t="s">
        <v>992</v>
      </c>
      <c r="R124" s="8"/>
      <c r="S124" s="8" t="s">
        <v>993</v>
      </c>
      <c r="T124" s="6" t="str">
        <f t="shared" si="9"/>
        <v>No Progress</v>
      </c>
      <c r="U124" s="8" t="s">
        <v>994</v>
      </c>
      <c r="V124" t="str">
        <f t="shared" si="10"/>
        <v>www.techinasia.com</v>
      </c>
      <c r="W124" s="8" t="s">
        <v>995</v>
      </c>
      <c r="X124" t="str">
        <f t="shared" si="11"/>
        <v>Neutral</v>
      </c>
    </row>
    <row r="125" spans="1:24" x14ac:dyDescent="0.3">
      <c r="A125" s="6">
        <v>124</v>
      </c>
      <c r="B125" s="13">
        <v>43270</v>
      </c>
      <c r="C125" s="7" t="str">
        <f t="shared" si="6"/>
        <v>2018</v>
      </c>
      <c r="D125" s="7" t="str">
        <f t="shared" si="7"/>
        <v>Jun</v>
      </c>
      <c r="E125" s="13">
        <v>43272</v>
      </c>
      <c r="F125" s="7" t="str">
        <f t="shared" si="8"/>
        <v>Jun</v>
      </c>
      <c r="G125" s="11" t="s">
        <v>32</v>
      </c>
      <c r="H125" s="11" t="s">
        <v>996</v>
      </c>
      <c r="I125" s="11"/>
      <c r="J125" s="11" t="s">
        <v>997</v>
      </c>
      <c r="K125" s="11"/>
      <c r="L125" s="11"/>
      <c r="M125" s="11" t="s">
        <v>998</v>
      </c>
      <c r="N125" s="11"/>
      <c r="O125" s="11"/>
      <c r="P125" s="11"/>
      <c r="Q125" s="11" t="s">
        <v>999</v>
      </c>
      <c r="R125" s="11"/>
      <c r="S125" s="11" t="s">
        <v>1000</v>
      </c>
      <c r="T125" s="6" t="str">
        <f t="shared" si="9"/>
        <v>Cold</v>
      </c>
      <c r="U125" s="11" t="s">
        <v>1001</v>
      </c>
      <c r="V125" t="str">
        <f t="shared" si="10"/>
        <v>www.techinasia.com</v>
      </c>
      <c r="W125" s="11"/>
      <c r="X125" t="str">
        <f t="shared" si="11"/>
        <v>Neutral</v>
      </c>
    </row>
    <row r="126" spans="1:24" x14ac:dyDescent="0.3">
      <c r="A126" s="6">
        <v>125</v>
      </c>
      <c r="B126" s="61">
        <v>43270</v>
      </c>
      <c r="C126" s="7" t="str">
        <f t="shared" si="6"/>
        <v>2018</v>
      </c>
      <c r="D126" s="7" t="str">
        <f t="shared" si="7"/>
        <v>Jun</v>
      </c>
      <c r="E126" s="61">
        <v>43273</v>
      </c>
      <c r="F126" s="7" t="str">
        <f t="shared" si="8"/>
        <v>Jun</v>
      </c>
      <c r="G126" s="60" t="s">
        <v>32</v>
      </c>
      <c r="H126" s="60" t="s">
        <v>1002</v>
      </c>
      <c r="I126" s="60" t="s">
        <v>1003</v>
      </c>
      <c r="J126" s="60" t="s">
        <v>1004</v>
      </c>
      <c r="K126" s="60" t="s">
        <v>20</v>
      </c>
      <c r="L126" s="60" t="s">
        <v>1005</v>
      </c>
      <c r="M126" s="60" t="s">
        <v>1006</v>
      </c>
      <c r="N126" s="60" t="s">
        <v>1007</v>
      </c>
      <c r="O126" s="60"/>
      <c r="P126" s="60"/>
      <c r="Q126" s="60" t="s">
        <v>1008</v>
      </c>
      <c r="R126" s="60" t="s">
        <v>1009</v>
      </c>
      <c r="S126" s="60" t="s">
        <v>1010</v>
      </c>
      <c r="T126" s="6" t="str">
        <f t="shared" si="9"/>
        <v>Hot</v>
      </c>
      <c r="U126" s="60" t="s">
        <v>1011</v>
      </c>
      <c r="V126" t="str">
        <f t="shared" si="10"/>
        <v>www.techinasia.com</v>
      </c>
      <c r="W126" s="60" t="s">
        <v>1012</v>
      </c>
      <c r="X126" t="str">
        <f t="shared" si="11"/>
        <v>Negative</v>
      </c>
    </row>
    <row r="127" spans="1:24" x14ac:dyDescent="0.3">
      <c r="A127" s="6">
        <v>126</v>
      </c>
      <c r="B127" s="10">
        <v>43270</v>
      </c>
      <c r="C127" s="7" t="str">
        <f t="shared" si="6"/>
        <v>2018</v>
      </c>
      <c r="D127" s="7" t="str">
        <f t="shared" si="7"/>
        <v>Jun</v>
      </c>
      <c r="E127" s="10">
        <v>43270</v>
      </c>
      <c r="F127" s="7" t="str">
        <f t="shared" si="8"/>
        <v>Jun</v>
      </c>
      <c r="G127" s="8" t="s">
        <v>1013</v>
      </c>
      <c r="H127" s="8" t="s">
        <v>1014</v>
      </c>
      <c r="I127" s="8" t="s">
        <v>1015</v>
      </c>
      <c r="J127" s="8" t="s">
        <v>1016</v>
      </c>
      <c r="K127" s="8" t="s">
        <v>20</v>
      </c>
      <c r="L127" s="8" t="s">
        <v>1017</v>
      </c>
      <c r="M127" s="8"/>
      <c r="N127" s="8" t="s">
        <v>1018</v>
      </c>
      <c r="O127" s="8"/>
      <c r="P127" s="8"/>
      <c r="Q127" s="8"/>
      <c r="R127" s="8"/>
      <c r="S127" s="8" t="s">
        <v>1019</v>
      </c>
      <c r="T127" s="6" t="str">
        <f t="shared" si="9"/>
        <v>No Progress</v>
      </c>
      <c r="U127" s="8" t="s">
        <v>1020</v>
      </c>
      <c r="V127" t="str">
        <f t="shared" si="10"/>
        <v>www.f6s.com</v>
      </c>
      <c r="W127" s="8" t="s">
        <v>1021</v>
      </c>
      <c r="X127" t="str">
        <f t="shared" si="11"/>
        <v>Neutral</v>
      </c>
    </row>
    <row r="128" spans="1:24" x14ac:dyDescent="0.3">
      <c r="A128" s="6">
        <v>127</v>
      </c>
      <c r="B128" s="10">
        <v>43270</v>
      </c>
      <c r="C128" s="7" t="str">
        <f t="shared" si="6"/>
        <v>2018</v>
      </c>
      <c r="D128" s="7" t="str">
        <f t="shared" si="7"/>
        <v>Jun</v>
      </c>
      <c r="E128" s="10">
        <v>43270</v>
      </c>
      <c r="F128" s="7" t="str">
        <f t="shared" si="8"/>
        <v>Jun</v>
      </c>
      <c r="G128" s="8" t="s">
        <v>490</v>
      </c>
      <c r="H128" s="8" t="s">
        <v>1022</v>
      </c>
      <c r="I128" s="8"/>
      <c r="J128" s="8" t="s">
        <v>1023</v>
      </c>
      <c r="K128" s="8" t="s">
        <v>20</v>
      </c>
      <c r="L128" s="8" t="s">
        <v>1024</v>
      </c>
      <c r="M128" s="8"/>
      <c r="N128" s="8"/>
      <c r="O128" s="8"/>
      <c r="P128" s="8"/>
      <c r="Q128" s="8"/>
      <c r="R128" s="8"/>
      <c r="S128" s="8" t="s">
        <v>1019</v>
      </c>
      <c r="T128" s="6" t="str">
        <f t="shared" si="9"/>
        <v>No Progress</v>
      </c>
      <c r="U128" s="8" t="s">
        <v>1025</v>
      </c>
      <c r="V128" t="str">
        <f t="shared" si="10"/>
        <v>angel.co</v>
      </c>
      <c r="W128" s="8" t="s">
        <v>1026</v>
      </c>
      <c r="X128" t="str">
        <f t="shared" si="11"/>
        <v>Neutral</v>
      </c>
    </row>
    <row r="129" spans="1:24" x14ac:dyDescent="0.3">
      <c r="A129" s="6">
        <v>128</v>
      </c>
      <c r="B129" s="10">
        <v>43270</v>
      </c>
      <c r="C129" s="7" t="str">
        <f t="shared" si="6"/>
        <v>2018</v>
      </c>
      <c r="D129" s="7" t="str">
        <f t="shared" si="7"/>
        <v>Jun</v>
      </c>
      <c r="E129" s="10">
        <v>43270</v>
      </c>
      <c r="F129" s="7" t="str">
        <f t="shared" si="8"/>
        <v>Jun</v>
      </c>
      <c r="G129" s="8" t="s">
        <v>490</v>
      </c>
      <c r="H129" s="8" t="s">
        <v>1027</v>
      </c>
      <c r="I129" s="8" t="s">
        <v>1028</v>
      </c>
      <c r="J129" s="8" t="s">
        <v>1029</v>
      </c>
      <c r="K129" s="8" t="s">
        <v>20</v>
      </c>
      <c r="L129" s="8" t="s">
        <v>1030</v>
      </c>
      <c r="M129" s="8"/>
      <c r="N129" s="8" t="s">
        <v>1031</v>
      </c>
      <c r="O129" s="8"/>
      <c r="P129" s="8"/>
      <c r="Q129" s="8"/>
      <c r="R129" s="8"/>
      <c r="S129" s="8" t="s">
        <v>1019</v>
      </c>
      <c r="T129" s="6" t="str">
        <f t="shared" si="9"/>
        <v>No Progress</v>
      </c>
      <c r="U129" s="8" t="s">
        <v>1032</v>
      </c>
      <c r="V129" t="str">
        <f t="shared" si="10"/>
        <v>angel.co</v>
      </c>
      <c r="W129" s="8" t="s">
        <v>1033</v>
      </c>
      <c r="X129" t="str">
        <f t="shared" si="11"/>
        <v>Neutral</v>
      </c>
    </row>
    <row r="130" spans="1:24" x14ac:dyDescent="0.3">
      <c r="A130" s="6">
        <v>129</v>
      </c>
      <c r="B130" s="10">
        <v>43270</v>
      </c>
      <c r="C130" s="7" t="str">
        <f t="shared" si="6"/>
        <v>2018</v>
      </c>
      <c r="D130" s="7" t="str">
        <f t="shared" si="7"/>
        <v>Jun</v>
      </c>
      <c r="E130" s="10">
        <v>43272</v>
      </c>
      <c r="F130" s="7" t="str">
        <f t="shared" si="8"/>
        <v>Jun</v>
      </c>
      <c r="G130" s="8" t="s">
        <v>1034</v>
      </c>
      <c r="H130" s="8" t="s">
        <v>1035</v>
      </c>
      <c r="I130" s="8" t="s">
        <v>514</v>
      </c>
      <c r="J130" s="8" t="s">
        <v>1036</v>
      </c>
      <c r="K130" s="8" t="s">
        <v>20</v>
      </c>
      <c r="L130" s="8" t="s">
        <v>1037</v>
      </c>
      <c r="M130" s="8" t="s">
        <v>1038</v>
      </c>
      <c r="N130" s="8" t="s">
        <v>1039</v>
      </c>
      <c r="O130" s="8"/>
      <c r="P130" s="8"/>
      <c r="Q130" s="8" t="s">
        <v>1040</v>
      </c>
      <c r="R130" s="8"/>
      <c r="S130" s="8" t="s">
        <v>1041</v>
      </c>
      <c r="T130" s="6" t="str">
        <f t="shared" si="9"/>
        <v>No Progress</v>
      </c>
      <c r="U130" s="8" t="s">
        <v>1042</v>
      </c>
      <c r="V130" t="str">
        <f t="shared" si="10"/>
        <v>angel.co</v>
      </c>
      <c r="W130" s="8" t="s">
        <v>1043</v>
      </c>
      <c r="X130" t="str">
        <f t="shared" si="11"/>
        <v>Negative</v>
      </c>
    </row>
    <row r="131" spans="1:24" x14ac:dyDescent="0.3">
      <c r="A131" s="6">
        <v>130</v>
      </c>
      <c r="B131" s="10">
        <v>43270</v>
      </c>
      <c r="C131" s="7" t="str">
        <f t="shared" ref="C131:C194" si="12">TEXT(B131, "yyyy")</f>
        <v>2018</v>
      </c>
      <c r="D131" s="7" t="str">
        <f t="shared" ref="D131:D194" si="13">TEXT(B131, "mmm")</f>
        <v>Jun</v>
      </c>
      <c r="E131" s="10">
        <v>43270</v>
      </c>
      <c r="F131" s="7" t="str">
        <f t="shared" ref="F131:F194" si="14">TEXT(E131, "mmm")</f>
        <v>Jun</v>
      </c>
      <c r="G131" s="8" t="s">
        <v>490</v>
      </c>
      <c r="H131" s="8" t="s">
        <v>1044</v>
      </c>
      <c r="I131" s="8" t="s">
        <v>155</v>
      </c>
      <c r="J131" s="8" t="s">
        <v>1045</v>
      </c>
      <c r="K131" s="8" t="s">
        <v>20</v>
      </c>
      <c r="L131" s="8" t="s">
        <v>1046</v>
      </c>
      <c r="M131" s="8"/>
      <c r="N131" s="8" t="s">
        <v>1047</v>
      </c>
      <c r="O131" s="8"/>
      <c r="P131" s="8"/>
      <c r="Q131" s="8" t="s">
        <v>1048</v>
      </c>
      <c r="R131" s="8"/>
      <c r="S131" s="8" t="s">
        <v>1019</v>
      </c>
      <c r="T131" s="6" t="str">
        <f t="shared" ref="T131:T194" si="15">GetCellColorStatus(B131)</f>
        <v>No Progress</v>
      </c>
      <c r="U131" s="8" t="s">
        <v>1049</v>
      </c>
      <c r="V131" t="str">
        <f t="shared" ref="V131:V194" si="16">IF(U131 = "", "No Source", MID(U131, SEARCH("//", U131) + 2, SEARCH("/", U131, SEARCH("//", U131) + 2) - SEARCH("//", U131) - 2))</f>
        <v>angel.co</v>
      </c>
      <c r="W131" s="8" t="s">
        <v>1050</v>
      </c>
      <c r="X131" t="str">
        <f t="shared" ref="X131:X194" si="17">IF(OR(ISNUMBER(SEARCH("no answer", LOWER(S131))), ISNUMBER(SEARCH("not interested", LOWER(S131)))), "Negative",
IF(OR(ISNUMBER(SEARCH("email sent", LOWER(S131))), ISNUMBER(SEARCH("follow up", LOWER(S131))), ISNUMBER(SEARCH("spoke", LOWER(S131)))), "Positive",
"Neutral"))</f>
        <v>Neutral</v>
      </c>
    </row>
    <row r="132" spans="1:24" x14ac:dyDescent="0.3">
      <c r="A132" s="6">
        <v>131</v>
      </c>
      <c r="B132" s="10">
        <v>43270</v>
      </c>
      <c r="C132" s="7" t="str">
        <f t="shared" si="12"/>
        <v>2018</v>
      </c>
      <c r="D132" s="7" t="str">
        <f t="shared" si="13"/>
        <v>Jun</v>
      </c>
      <c r="E132" s="10">
        <v>43270</v>
      </c>
      <c r="F132" s="7" t="str">
        <f t="shared" si="14"/>
        <v>Jun</v>
      </c>
      <c r="G132" s="8" t="s">
        <v>490</v>
      </c>
      <c r="H132" s="8" t="s">
        <v>1051</v>
      </c>
      <c r="I132" s="8" t="s">
        <v>105</v>
      </c>
      <c r="J132" s="8" t="s">
        <v>1052</v>
      </c>
      <c r="K132" s="8" t="s">
        <v>20</v>
      </c>
      <c r="L132" s="8" t="s">
        <v>1053</v>
      </c>
      <c r="M132" s="8"/>
      <c r="N132" s="8" t="s">
        <v>1054</v>
      </c>
      <c r="O132" s="8"/>
      <c r="P132" s="8"/>
      <c r="Q132" s="8" t="s">
        <v>1055</v>
      </c>
      <c r="R132" s="8"/>
      <c r="S132" s="8" t="s">
        <v>1019</v>
      </c>
      <c r="T132" s="6" t="str">
        <f t="shared" si="15"/>
        <v>No Progress</v>
      </c>
      <c r="U132" s="8" t="s">
        <v>1056</v>
      </c>
      <c r="V132" t="str">
        <f t="shared" si="16"/>
        <v>angel.co</v>
      </c>
      <c r="W132" s="8" t="s">
        <v>1057</v>
      </c>
      <c r="X132" t="str">
        <f t="shared" si="17"/>
        <v>Neutral</v>
      </c>
    </row>
    <row r="133" spans="1:24" x14ac:dyDescent="0.3">
      <c r="A133" s="6">
        <v>132</v>
      </c>
      <c r="B133" s="31">
        <v>43270</v>
      </c>
      <c r="C133" s="7" t="str">
        <f t="shared" si="12"/>
        <v>2018</v>
      </c>
      <c r="D133" s="7" t="str">
        <f t="shared" si="13"/>
        <v>Jun</v>
      </c>
      <c r="E133" s="31">
        <v>43307</v>
      </c>
      <c r="F133" s="7" t="str">
        <f t="shared" si="14"/>
        <v>Jul</v>
      </c>
      <c r="G133" s="27" t="s">
        <v>490</v>
      </c>
      <c r="H133" s="27" t="s">
        <v>1058</v>
      </c>
      <c r="I133" s="27" t="s">
        <v>330</v>
      </c>
      <c r="J133" s="27" t="s">
        <v>1059</v>
      </c>
      <c r="K133" s="27" t="s">
        <v>20</v>
      </c>
      <c r="L133" s="27" t="s">
        <v>1060</v>
      </c>
      <c r="M133" s="27"/>
      <c r="N133" s="38" t="s">
        <v>1061</v>
      </c>
      <c r="O133" s="27"/>
      <c r="P133" s="27"/>
      <c r="Q133" s="27"/>
      <c r="R133" s="27" t="s">
        <v>1062</v>
      </c>
      <c r="S133" s="27" t="s">
        <v>1063</v>
      </c>
      <c r="T133" s="6" t="str">
        <f t="shared" si="15"/>
        <v>No Progress</v>
      </c>
      <c r="U133" s="27" t="s">
        <v>1064</v>
      </c>
      <c r="V133" t="str">
        <f t="shared" si="16"/>
        <v>angel.co</v>
      </c>
      <c r="W133" s="27" t="s">
        <v>1065</v>
      </c>
      <c r="X133" t="str">
        <f t="shared" si="17"/>
        <v>Neutral</v>
      </c>
    </row>
    <row r="134" spans="1:24" x14ac:dyDescent="0.3">
      <c r="A134" s="6">
        <v>133</v>
      </c>
      <c r="B134" s="10">
        <v>43272</v>
      </c>
      <c r="C134" s="7" t="str">
        <f t="shared" si="12"/>
        <v>2018</v>
      </c>
      <c r="D134" s="7" t="str">
        <f t="shared" si="13"/>
        <v>Jun</v>
      </c>
      <c r="E134" s="10">
        <v>43272</v>
      </c>
      <c r="F134" s="7" t="str">
        <f t="shared" si="14"/>
        <v>Jun</v>
      </c>
      <c r="G134" s="8" t="s">
        <v>17</v>
      </c>
      <c r="H134" s="8" t="s">
        <v>1066</v>
      </c>
      <c r="I134" s="8" t="s">
        <v>119</v>
      </c>
      <c r="J134" s="8" t="s">
        <v>1067</v>
      </c>
      <c r="K134" s="8" t="s">
        <v>20</v>
      </c>
      <c r="L134" s="8" t="s">
        <v>1068</v>
      </c>
      <c r="M134" s="8" t="s">
        <v>1069</v>
      </c>
      <c r="N134" s="8" t="s">
        <v>1070</v>
      </c>
      <c r="O134" s="8"/>
      <c r="P134" s="8"/>
      <c r="Q134" s="8" t="s">
        <v>1071</v>
      </c>
      <c r="R134" s="8"/>
      <c r="S134" s="8" t="s">
        <v>1072</v>
      </c>
      <c r="T134" s="6" t="str">
        <f t="shared" si="15"/>
        <v>No Progress</v>
      </c>
      <c r="U134" s="8" t="s">
        <v>1073</v>
      </c>
      <c r="V134" t="str">
        <f t="shared" si="16"/>
        <v>remote.co</v>
      </c>
      <c r="W134" s="8" t="s">
        <v>1074</v>
      </c>
      <c r="X134" t="str">
        <f t="shared" si="17"/>
        <v>Neutral</v>
      </c>
    </row>
    <row r="135" spans="1:24" x14ac:dyDescent="0.3">
      <c r="A135" s="6">
        <v>134</v>
      </c>
      <c r="B135" s="10">
        <v>43272</v>
      </c>
      <c r="C135" s="7" t="str">
        <f t="shared" si="12"/>
        <v>2018</v>
      </c>
      <c r="D135" s="7" t="str">
        <f t="shared" si="13"/>
        <v>Jun</v>
      </c>
      <c r="E135" s="10">
        <v>43272</v>
      </c>
      <c r="F135" s="7" t="str">
        <f t="shared" si="14"/>
        <v>Jun</v>
      </c>
      <c r="G135" s="8" t="s">
        <v>17</v>
      </c>
      <c r="H135" s="8" t="s">
        <v>1075</v>
      </c>
      <c r="I135" s="8"/>
      <c r="J135" s="8"/>
      <c r="K135" s="8" t="s">
        <v>20</v>
      </c>
      <c r="L135" s="8" t="s">
        <v>1076</v>
      </c>
      <c r="M135" s="8" t="s">
        <v>1077</v>
      </c>
      <c r="N135" s="8" t="s">
        <v>1078</v>
      </c>
      <c r="O135" s="8"/>
      <c r="P135" s="8"/>
      <c r="Q135" s="8"/>
      <c r="R135" s="8"/>
      <c r="S135" s="8" t="s">
        <v>1079</v>
      </c>
      <c r="T135" s="6" t="str">
        <f t="shared" si="15"/>
        <v>No Progress</v>
      </c>
      <c r="U135" s="8" t="s">
        <v>1080</v>
      </c>
      <c r="V135" t="str">
        <f t="shared" si="16"/>
        <v>startupjobs.asia</v>
      </c>
      <c r="W135" s="8" t="s">
        <v>1081</v>
      </c>
      <c r="X135" t="str">
        <f t="shared" si="17"/>
        <v>Positive</v>
      </c>
    </row>
    <row r="136" spans="1:24" x14ac:dyDescent="0.3">
      <c r="A136" s="6">
        <v>135</v>
      </c>
      <c r="B136" s="10">
        <v>43272</v>
      </c>
      <c r="C136" s="7" t="str">
        <f t="shared" si="12"/>
        <v>2018</v>
      </c>
      <c r="D136" s="7" t="str">
        <f t="shared" si="13"/>
        <v>Jun</v>
      </c>
      <c r="E136" s="10">
        <v>43272</v>
      </c>
      <c r="F136" s="7" t="str">
        <f t="shared" si="14"/>
        <v>Jun</v>
      </c>
      <c r="G136" s="8" t="s">
        <v>32</v>
      </c>
      <c r="H136" s="8" t="s">
        <v>1082</v>
      </c>
      <c r="I136" s="8" t="s">
        <v>1083</v>
      </c>
      <c r="J136" s="8" t="s">
        <v>1084</v>
      </c>
      <c r="K136" s="8" t="s">
        <v>20</v>
      </c>
      <c r="L136" s="8" t="s">
        <v>1085</v>
      </c>
      <c r="M136" s="8" t="s">
        <v>1086</v>
      </c>
      <c r="N136" s="8" t="s">
        <v>1087</v>
      </c>
      <c r="O136" s="8"/>
      <c r="P136" s="8"/>
      <c r="Q136" s="8" t="s">
        <v>1088</v>
      </c>
      <c r="R136" s="8"/>
      <c r="S136" s="8" t="s">
        <v>1089</v>
      </c>
      <c r="T136" s="6" t="str">
        <f t="shared" si="15"/>
        <v>No Progress</v>
      </c>
      <c r="U136" s="8" t="s">
        <v>1090</v>
      </c>
      <c r="V136" t="str">
        <f t="shared" si="16"/>
        <v>www.techinasia.com</v>
      </c>
      <c r="W136" s="8" t="s">
        <v>1091</v>
      </c>
      <c r="X136" t="str">
        <f t="shared" si="17"/>
        <v>Negative</v>
      </c>
    </row>
    <row r="137" spans="1:24" x14ac:dyDescent="0.3">
      <c r="A137" s="6">
        <v>136</v>
      </c>
      <c r="B137" s="10">
        <v>43272</v>
      </c>
      <c r="C137" s="7" t="str">
        <f t="shared" si="12"/>
        <v>2018</v>
      </c>
      <c r="D137" s="7" t="str">
        <f t="shared" si="13"/>
        <v>Jun</v>
      </c>
      <c r="E137" s="10">
        <v>43272</v>
      </c>
      <c r="F137" s="7" t="str">
        <f t="shared" si="14"/>
        <v>Jun</v>
      </c>
      <c r="G137" s="8" t="s">
        <v>32</v>
      </c>
      <c r="H137" s="8" t="s">
        <v>1092</v>
      </c>
      <c r="I137" s="8" t="s">
        <v>215</v>
      </c>
      <c r="J137" s="8" t="s">
        <v>1093</v>
      </c>
      <c r="K137" s="8" t="s">
        <v>20</v>
      </c>
      <c r="L137" s="8" t="s">
        <v>1094</v>
      </c>
      <c r="M137" s="8"/>
      <c r="N137" s="8" t="s">
        <v>1095</v>
      </c>
      <c r="O137" s="8"/>
      <c r="P137" s="8"/>
      <c r="Q137" s="8" t="s">
        <v>1096</v>
      </c>
      <c r="R137" s="8"/>
      <c r="S137" s="8" t="s">
        <v>1097</v>
      </c>
      <c r="T137" s="6" t="str">
        <f t="shared" si="15"/>
        <v>No Progress</v>
      </c>
      <c r="U137" s="8" t="s">
        <v>1098</v>
      </c>
      <c r="V137" t="str">
        <f t="shared" si="16"/>
        <v>www.techinasia.com</v>
      </c>
      <c r="W137" s="8" t="s">
        <v>1099</v>
      </c>
      <c r="X137" t="str">
        <f t="shared" si="17"/>
        <v>Neutral</v>
      </c>
    </row>
    <row r="138" spans="1:24" x14ac:dyDescent="0.3">
      <c r="A138" s="6">
        <v>137</v>
      </c>
      <c r="B138" s="17">
        <v>43272</v>
      </c>
      <c r="C138" s="7" t="str">
        <f t="shared" si="12"/>
        <v>2018</v>
      </c>
      <c r="D138" s="7" t="str">
        <f t="shared" si="13"/>
        <v>Jun</v>
      </c>
      <c r="E138" s="17">
        <v>43272</v>
      </c>
      <c r="F138" s="7" t="str">
        <f t="shared" si="14"/>
        <v>Jun</v>
      </c>
      <c r="G138" s="16" t="s">
        <v>748</v>
      </c>
      <c r="H138" s="16" t="s">
        <v>1100</v>
      </c>
      <c r="I138" s="16" t="s">
        <v>1101</v>
      </c>
      <c r="J138" s="16" t="s">
        <v>1102</v>
      </c>
      <c r="K138" s="16" t="s">
        <v>20</v>
      </c>
      <c r="L138" s="16" t="s">
        <v>1103</v>
      </c>
      <c r="M138" s="16" t="s">
        <v>1104</v>
      </c>
      <c r="N138" s="16" t="s">
        <v>1105</v>
      </c>
      <c r="O138" s="16"/>
      <c r="P138" s="16"/>
      <c r="Q138" s="16" t="s">
        <v>1106</v>
      </c>
      <c r="R138" s="16"/>
      <c r="S138" s="16" t="s">
        <v>1107</v>
      </c>
      <c r="T138" s="6" t="str">
        <f t="shared" si="15"/>
        <v>Warm</v>
      </c>
      <c r="U138" s="16" t="s">
        <v>1108</v>
      </c>
      <c r="V138" t="str">
        <f t="shared" si="16"/>
        <v>www.f6s.com</v>
      </c>
      <c r="W138" s="16" t="s">
        <v>1109</v>
      </c>
      <c r="X138" t="str">
        <f t="shared" si="17"/>
        <v>Neutral</v>
      </c>
    </row>
    <row r="139" spans="1:24" x14ac:dyDescent="0.3">
      <c r="A139" s="6">
        <v>138</v>
      </c>
      <c r="B139" s="10">
        <v>43272</v>
      </c>
      <c r="C139" s="7" t="str">
        <f t="shared" si="12"/>
        <v>2018</v>
      </c>
      <c r="D139" s="7" t="str">
        <f t="shared" si="13"/>
        <v>Jun</v>
      </c>
      <c r="E139" s="10">
        <v>43272</v>
      </c>
      <c r="F139" s="7" t="str">
        <f t="shared" si="14"/>
        <v>Jun</v>
      </c>
      <c r="G139" s="8" t="s">
        <v>490</v>
      </c>
      <c r="H139" s="8" t="s">
        <v>1110</v>
      </c>
      <c r="I139" s="8" t="s">
        <v>1111</v>
      </c>
      <c r="J139" s="8" t="s">
        <v>1112</v>
      </c>
      <c r="K139" s="8" t="s">
        <v>20</v>
      </c>
      <c r="L139" s="8" t="s">
        <v>1113</v>
      </c>
      <c r="M139" s="8"/>
      <c r="N139" s="8" t="s">
        <v>1114</v>
      </c>
      <c r="O139" s="8"/>
      <c r="P139" s="8"/>
      <c r="Q139" s="8" t="s">
        <v>1115</v>
      </c>
      <c r="R139" s="8"/>
      <c r="S139" s="8" t="s">
        <v>1097</v>
      </c>
      <c r="T139" s="6" t="str">
        <f t="shared" si="15"/>
        <v>No Progress</v>
      </c>
      <c r="U139" s="8" t="s">
        <v>1116</v>
      </c>
      <c r="V139" t="str">
        <f t="shared" si="16"/>
        <v>www.f6s.com</v>
      </c>
      <c r="W139" s="8" t="s">
        <v>1117</v>
      </c>
      <c r="X139" t="str">
        <f t="shared" si="17"/>
        <v>Neutral</v>
      </c>
    </row>
    <row r="140" spans="1:24" x14ac:dyDescent="0.3">
      <c r="A140" s="6">
        <v>139</v>
      </c>
      <c r="B140" s="10">
        <v>43272</v>
      </c>
      <c r="C140" s="7" t="str">
        <f t="shared" si="12"/>
        <v>2018</v>
      </c>
      <c r="D140" s="7" t="str">
        <f t="shared" si="13"/>
        <v>Jun</v>
      </c>
      <c r="E140" s="10">
        <v>43272</v>
      </c>
      <c r="F140" s="7" t="str">
        <f t="shared" si="14"/>
        <v>Jun</v>
      </c>
      <c r="G140" s="8" t="s">
        <v>748</v>
      </c>
      <c r="H140" s="8"/>
      <c r="I140" s="8"/>
      <c r="J140" s="8"/>
      <c r="K140" s="8" t="s">
        <v>20</v>
      </c>
      <c r="L140" s="8" t="s">
        <v>1118</v>
      </c>
      <c r="M140" s="8"/>
      <c r="N140" s="8"/>
      <c r="O140" s="8"/>
      <c r="P140" s="8"/>
      <c r="Q140" s="8"/>
      <c r="R140" s="8"/>
      <c r="S140" s="8" t="s">
        <v>1119</v>
      </c>
      <c r="T140" s="6" t="str">
        <f t="shared" si="15"/>
        <v>No Progress</v>
      </c>
      <c r="U140" s="8" t="s">
        <v>1120</v>
      </c>
      <c r="V140" t="str">
        <f t="shared" si="16"/>
        <v>www.f6s.com</v>
      </c>
      <c r="W140" s="8" t="s">
        <v>1121</v>
      </c>
      <c r="X140" t="str">
        <f t="shared" si="17"/>
        <v>Neutral</v>
      </c>
    </row>
    <row r="141" spans="1:24" x14ac:dyDescent="0.3">
      <c r="A141" s="6">
        <v>140</v>
      </c>
      <c r="B141" s="10">
        <v>43272</v>
      </c>
      <c r="C141" s="7" t="str">
        <f t="shared" si="12"/>
        <v>2018</v>
      </c>
      <c r="D141" s="7" t="str">
        <f t="shared" si="13"/>
        <v>Jun</v>
      </c>
      <c r="E141" s="10">
        <v>43272</v>
      </c>
      <c r="F141" s="7" t="str">
        <f t="shared" si="14"/>
        <v>Jun</v>
      </c>
      <c r="G141" s="8" t="s">
        <v>213</v>
      </c>
      <c r="H141" s="8" t="s">
        <v>1122</v>
      </c>
      <c r="I141" s="8"/>
      <c r="J141" s="8"/>
      <c r="K141" s="8" t="s">
        <v>20</v>
      </c>
      <c r="L141" s="8" t="s">
        <v>1123</v>
      </c>
      <c r="M141" s="8"/>
      <c r="N141" s="8"/>
      <c r="O141" s="8"/>
      <c r="P141" s="8"/>
      <c r="Q141" s="8"/>
      <c r="R141" s="8"/>
      <c r="S141" s="8" t="s">
        <v>1119</v>
      </c>
      <c r="T141" s="6" t="str">
        <f t="shared" si="15"/>
        <v>No Progress</v>
      </c>
      <c r="U141" s="8" t="s">
        <v>1124</v>
      </c>
      <c r="V141" t="str">
        <f t="shared" si="16"/>
        <v>angel.co</v>
      </c>
      <c r="W141" s="8" t="s">
        <v>1125</v>
      </c>
      <c r="X141" t="str">
        <f t="shared" si="17"/>
        <v>Neutral</v>
      </c>
    </row>
    <row r="142" spans="1:24" x14ac:dyDescent="0.3">
      <c r="A142" s="6">
        <v>141</v>
      </c>
      <c r="B142" s="10">
        <v>43272</v>
      </c>
      <c r="C142" s="7" t="str">
        <f t="shared" si="12"/>
        <v>2018</v>
      </c>
      <c r="D142" s="7" t="str">
        <f t="shared" si="13"/>
        <v>Jun</v>
      </c>
      <c r="E142" s="10">
        <v>43272</v>
      </c>
      <c r="F142" s="7" t="str">
        <f t="shared" si="14"/>
        <v>Jun</v>
      </c>
      <c r="G142" s="8" t="s">
        <v>1126</v>
      </c>
      <c r="H142" s="8" t="s">
        <v>1127</v>
      </c>
      <c r="I142" s="8" t="s">
        <v>155</v>
      </c>
      <c r="J142" s="8" t="s">
        <v>1128</v>
      </c>
      <c r="K142" s="8" t="s">
        <v>20</v>
      </c>
      <c r="L142" s="8" t="s">
        <v>1129</v>
      </c>
      <c r="M142" s="8"/>
      <c r="N142" s="8" t="s">
        <v>1130</v>
      </c>
      <c r="O142" s="8"/>
      <c r="P142" s="8"/>
      <c r="Q142" s="8" t="s">
        <v>1131</v>
      </c>
      <c r="R142" s="8"/>
      <c r="S142" s="8" t="s">
        <v>1097</v>
      </c>
      <c r="T142" s="6" t="str">
        <f t="shared" si="15"/>
        <v>No Progress</v>
      </c>
      <c r="U142" s="8" t="s">
        <v>1132</v>
      </c>
      <c r="V142" t="str">
        <f t="shared" si="16"/>
        <v>angel.co</v>
      </c>
      <c r="W142" s="8" t="s">
        <v>1133</v>
      </c>
      <c r="X142" t="str">
        <f t="shared" si="17"/>
        <v>Neutral</v>
      </c>
    </row>
    <row r="143" spans="1:24" x14ac:dyDescent="0.3">
      <c r="A143" s="6">
        <v>142</v>
      </c>
      <c r="B143" s="10">
        <v>43272</v>
      </c>
      <c r="C143" s="7" t="str">
        <f t="shared" si="12"/>
        <v>2018</v>
      </c>
      <c r="D143" s="7" t="str">
        <f t="shared" si="13"/>
        <v>Jun</v>
      </c>
      <c r="E143" s="10">
        <v>43272</v>
      </c>
      <c r="F143" s="7" t="str">
        <f t="shared" si="14"/>
        <v>Jun</v>
      </c>
      <c r="G143" s="8" t="s">
        <v>490</v>
      </c>
      <c r="H143" s="8" t="s">
        <v>1134</v>
      </c>
      <c r="I143" s="8" t="s">
        <v>1135</v>
      </c>
      <c r="J143" s="8" t="s">
        <v>1136</v>
      </c>
      <c r="K143" s="8" t="s">
        <v>20</v>
      </c>
      <c r="L143" s="8" t="s">
        <v>1137</v>
      </c>
      <c r="M143" s="8"/>
      <c r="N143" s="8" t="s">
        <v>1138</v>
      </c>
      <c r="O143" s="8"/>
      <c r="P143" s="8"/>
      <c r="Q143" s="8" t="s">
        <v>1139</v>
      </c>
      <c r="R143" s="8"/>
      <c r="S143" s="8" t="s">
        <v>1097</v>
      </c>
      <c r="T143" s="6" t="str">
        <f t="shared" si="15"/>
        <v>No Progress</v>
      </c>
      <c r="U143" s="8" t="s">
        <v>1140</v>
      </c>
      <c r="V143" t="str">
        <f t="shared" si="16"/>
        <v>angel.co</v>
      </c>
      <c r="W143" s="8" t="s">
        <v>1141</v>
      </c>
      <c r="X143" t="str">
        <f t="shared" si="17"/>
        <v>Neutral</v>
      </c>
    </row>
    <row r="144" spans="1:24" x14ac:dyDescent="0.3">
      <c r="A144" s="6">
        <v>143</v>
      </c>
      <c r="B144" s="31">
        <v>43272</v>
      </c>
      <c r="C144" s="7" t="str">
        <f t="shared" si="12"/>
        <v>2018</v>
      </c>
      <c r="D144" s="7" t="str">
        <f t="shared" si="13"/>
        <v>Jun</v>
      </c>
      <c r="E144" s="31">
        <v>43272</v>
      </c>
      <c r="F144" s="7" t="str">
        <f t="shared" si="14"/>
        <v>Jun</v>
      </c>
      <c r="G144" s="27" t="s">
        <v>659</v>
      </c>
      <c r="H144" s="27" t="s">
        <v>1142</v>
      </c>
      <c r="I144" s="27" t="s">
        <v>204</v>
      </c>
      <c r="J144" s="27" t="s">
        <v>1143</v>
      </c>
      <c r="K144" s="27" t="s">
        <v>20</v>
      </c>
      <c r="L144" s="27" t="s">
        <v>1144</v>
      </c>
      <c r="M144" s="27" t="s">
        <v>1145</v>
      </c>
      <c r="N144" s="27" t="s">
        <v>1146</v>
      </c>
      <c r="O144" s="27"/>
      <c r="P144" s="27"/>
      <c r="Q144" s="27" t="s">
        <v>1147</v>
      </c>
      <c r="R144" s="27"/>
      <c r="S144" s="27" t="s">
        <v>1148</v>
      </c>
      <c r="T144" s="6" t="str">
        <f t="shared" si="15"/>
        <v>No Progress</v>
      </c>
      <c r="U144" s="27" t="s">
        <v>1149</v>
      </c>
      <c r="V144" t="str">
        <f t="shared" si="16"/>
        <v>angel.co</v>
      </c>
      <c r="W144" s="27" t="s">
        <v>1150</v>
      </c>
      <c r="X144" t="str">
        <f t="shared" si="17"/>
        <v>Neutral</v>
      </c>
    </row>
    <row r="145" spans="1:24" x14ac:dyDescent="0.3">
      <c r="A145" s="6">
        <v>144</v>
      </c>
      <c r="B145" s="10">
        <v>43272</v>
      </c>
      <c r="C145" s="7" t="str">
        <f t="shared" si="12"/>
        <v>2018</v>
      </c>
      <c r="D145" s="7" t="str">
        <f t="shared" si="13"/>
        <v>Jun</v>
      </c>
      <c r="E145" s="10">
        <v>43272</v>
      </c>
      <c r="F145" s="7" t="str">
        <f t="shared" si="14"/>
        <v>Jun</v>
      </c>
      <c r="G145" s="8" t="s">
        <v>1151</v>
      </c>
      <c r="H145" s="8" t="s">
        <v>1152</v>
      </c>
      <c r="I145" s="8" t="s">
        <v>204</v>
      </c>
      <c r="J145" s="8" t="s">
        <v>1153</v>
      </c>
      <c r="K145" s="8" t="s">
        <v>20</v>
      </c>
      <c r="L145" s="8" t="s">
        <v>1154</v>
      </c>
      <c r="M145" s="8"/>
      <c r="N145" s="8"/>
      <c r="O145" s="8"/>
      <c r="P145" s="8"/>
      <c r="Q145" s="8"/>
      <c r="R145" s="8"/>
      <c r="S145" s="8" t="s">
        <v>1097</v>
      </c>
      <c r="T145" s="6" t="str">
        <f t="shared" si="15"/>
        <v>No Progress</v>
      </c>
      <c r="U145" s="8" t="s">
        <v>1155</v>
      </c>
      <c r="V145" t="str">
        <f t="shared" si="16"/>
        <v>angel.co</v>
      </c>
      <c r="W145" s="8" t="s">
        <v>1156</v>
      </c>
      <c r="X145" t="str">
        <f t="shared" si="17"/>
        <v>Neutral</v>
      </c>
    </row>
    <row r="146" spans="1:24" x14ac:dyDescent="0.3">
      <c r="A146" s="6">
        <v>145</v>
      </c>
      <c r="B146" s="10">
        <v>43273</v>
      </c>
      <c r="C146" s="7" t="str">
        <f t="shared" si="12"/>
        <v>2018</v>
      </c>
      <c r="D146" s="7" t="str">
        <f t="shared" si="13"/>
        <v>Jun</v>
      </c>
      <c r="E146" s="10">
        <v>43272</v>
      </c>
      <c r="F146" s="7" t="str">
        <f t="shared" si="14"/>
        <v>Jun</v>
      </c>
      <c r="G146" s="8" t="s">
        <v>32</v>
      </c>
      <c r="H146" s="8"/>
      <c r="I146" s="8"/>
      <c r="J146" s="8" t="s">
        <v>1157</v>
      </c>
      <c r="K146" s="8" t="s">
        <v>20</v>
      </c>
      <c r="L146" s="8" t="s">
        <v>1158</v>
      </c>
      <c r="M146" s="8" t="s">
        <v>1159</v>
      </c>
      <c r="N146" s="8" t="s">
        <v>1160</v>
      </c>
      <c r="O146" s="8"/>
      <c r="P146" s="8"/>
      <c r="Q146" s="8" t="s">
        <v>1161</v>
      </c>
      <c r="R146" s="8"/>
      <c r="S146" s="8" t="s">
        <v>1162</v>
      </c>
      <c r="T146" s="6" t="str">
        <f t="shared" si="15"/>
        <v>No Progress</v>
      </c>
      <c r="U146" s="8" t="s">
        <v>1163</v>
      </c>
      <c r="V146" t="str">
        <f t="shared" si="16"/>
        <v>startupjobs.asia</v>
      </c>
      <c r="W146" s="8"/>
      <c r="X146" t="str">
        <f t="shared" si="17"/>
        <v>Neutral</v>
      </c>
    </row>
    <row r="147" spans="1:24" x14ac:dyDescent="0.3">
      <c r="A147" s="6">
        <v>146</v>
      </c>
      <c r="B147" s="10">
        <v>43272</v>
      </c>
      <c r="C147" s="7" t="str">
        <f t="shared" si="12"/>
        <v>2018</v>
      </c>
      <c r="D147" s="7" t="str">
        <f t="shared" si="13"/>
        <v>Jun</v>
      </c>
      <c r="E147" s="10">
        <v>43272</v>
      </c>
      <c r="F147" s="7" t="str">
        <f t="shared" si="14"/>
        <v>Jun</v>
      </c>
      <c r="G147" s="8" t="s">
        <v>17</v>
      </c>
      <c r="H147" s="8" t="s">
        <v>1164</v>
      </c>
      <c r="I147" s="8"/>
      <c r="J147" s="8" t="s">
        <v>1165</v>
      </c>
      <c r="K147" s="8"/>
      <c r="L147" s="8"/>
      <c r="M147" s="8"/>
      <c r="N147" s="8"/>
      <c r="O147" s="8"/>
      <c r="P147" s="8"/>
      <c r="Q147" s="8" t="s">
        <v>1166</v>
      </c>
      <c r="R147" s="8"/>
      <c r="S147" s="8" t="s">
        <v>1097</v>
      </c>
      <c r="T147" s="6" t="str">
        <f t="shared" si="15"/>
        <v>No Progress</v>
      </c>
      <c r="U147" s="8" t="s">
        <v>1167</v>
      </c>
      <c r="V147" t="str">
        <f t="shared" si="16"/>
        <v>startupjobs.asia</v>
      </c>
      <c r="W147" s="8"/>
      <c r="X147" t="str">
        <f t="shared" si="17"/>
        <v>Neutral</v>
      </c>
    </row>
    <row r="148" spans="1:24" x14ac:dyDescent="0.3">
      <c r="A148" s="6">
        <v>147</v>
      </c>
      <c r="B148" s="13">
        <v>43272</v>
      </c>
      <c r="C148" s="7" t="str">
        <f t="shared" si="12"/>
        <v>2018</v>
      </c>
      <c r="D148" s="7" t="str">
        <f t="shared" si="13"/>
        <v>Jun</v>
      </c>
      <c r="E148" s="13">
        <v>43273</v>
      </c>
      <c r="F148" s="7" t="str">
        <f t="shared" si="14"/>
        <v>Jun</v>
      </c>
      <c r="G148" s="11" t="s">
        <v>32</v>
      </c>
      <c r="H148" s="11" t="s">
        <v>1168</v>
      </c>
      <c r="I148" s="11" t="s">
        <v>155</v>
      </c>
      <c r="J148" s="11" t="s">
        <v>1169</v>
      </c>
      <c r="K148" s="11" t="s">
        <v>20</v>
      </c>
      <c r="L148" s="11" t="s">
        <v>1170</v>
      </c>
      <c r="M148" s="11" t="s">
        <v>1171</v>
      </c>
      <c r="N148" s="11" t="s">
        <v>1172</v>
      </c>
      <c r="O148" s="11"/>
      <c r="P148" s="11"/>
      <c r="Q148" s="11" t="s">
        <v>1173</v>
      </c>
      <c r="R148" s="11"/>
      <c r="S148" s="11" t="s">
        <v>1174</v>
      </c>
      <c r="T148" s="6" t="str">
        <f t="shared" si="15"/>
        <v>Cold</v>
      </c>
      <c r="U148" s="11" t="s">
        <v>1175</v>
      </c>
      <c r="V148" t="str">
        <f t="shared" si="16"/>
        <v>www.techinasia.com</v>
      </c>
      <c r="W148" s="11" t="s">
        <v>1176</v>
      </c>
      <c r="X148" t="str">
        <f t="shared" si="17"/>
        <v>Negative</v>
      </c>
    </row>
    <row r="149" spans="1:24" x14ac:dyDescent="0.3">
      <c r="A149" s="6">
        <v>148</v>
      </c>
      <c r="B149" s="61">
        <v>43272</v>
      </c>
      <c r="C149" s="7" t="str">
        <f t="shared" si="12"/>
        <v>2018</v>
      </c>
      <c r="D149" s="7" t="str">
        <f t="shared" si="13"/>
        <v>Jun</v>
      </c>
      <c r="E149" s="61">
        <v>43273</v>
      </c>
      <c r="F149" s="7" t="str">
        <f t="shared" si="14"/>
        <v>Jun</v>
      </c>
      <c r="G149" s="60" t="s">
        <v>17</v>
      </c>
      <c r="H149" s="60" t="s">
        <v>1177</v>
      </c>
      <c r="I149" s="60"/>
      <c r="J149" s="60" t="s">
        <v>1178</v>
      </c>
      <c r="K149" s="60" t="s">
        <v>302</v>
      </c>
      <c r="L149" s="60" t="s">
        <v>1179</v>
      </c>
      <c r="M149" s="60" t="s">
        <v>1180</v>
      </c>
      <c r="N149" s="60" t="s">
        <v>1181</v>
      </c>
      <c r="O149" s="60"/>
      <c r="P149" s="60"/>
      <c r="Q149" s="60" t="s">
        <v>1182</v>
      </c>
      <c r="R149" s="68" t="s">
        <v>1183</v>
      </c>
      <c r="S149" s="60" t="s">
        <v>1184</v>
      </c>
      <c r="T149" s="6" t="str">
        <f t="shared" si="15"/>
        <v>Hot</v>
      </c>
      <c r="U149" s="60" t="s">
        <v>1185</v>
      </c>
      <c r="V149" t="str">
        <f t="shared" si="16"/>
        <v>www.techinasia.com</v>
      </c>
      <c r="W149" s="60" t="s">
        <v>1186</v>
      </c>
      <c r="X149" t="str">
        <f t="shared" si="17"/>
        <v>Neutral</v>
      </c>
    </row>
    <row r="150" spans="1:24" x14ac:dyDescent="0.3">
      <c r="A150" s="6">
        <v>149</v>
      </c>
      <c r="B150" s="61">
        <v>43298</v>
      </c>
      <c r="C150" s="7" t="str">
        <f t="shared" si="12"/>
        <v>2018</v>
      </c>
      <c r="D150" s="7" t="str">
        <f t="shared" si="13"/>
        <v>Jul</v>
      </c>
      <c r="E150" s="61">
        <v>43299</v>
      </c>
      <c r="F150" s="7" t="str">
        <f t="shared" si="14"/>
        <v>Jul</v>
      </c>
      <c r="G150" s="60" t="s">
        <v>93</v>
      </c>
      <c r="H150" s="60" t="s">
        <v>1187</v>
      </c>
      <c r="I150" s="60" t="s">
        <v>1188</v>
      </c>
      <c r="J150" s="60" t="s">
        <v>1189</v>
      </c>
      <c r="K150" s="60" t="s">
        <v>20</v>
      </c>
      <c r="L150" s="60" t="s">
        <v>1190</v>
      </c>
      <c r="M150" s="60" t="s">
        <v>1191</v>
      </c>
      <c r="N150" s="60" t="s">
        <v>1192</v>
      </c>
      <c r="O150" s="60" t="s">
        <v>1193</v>
      </c>
      <c r="P150" s="60"/>
      <c r="Q150" s="60" t="s">
        <v>1194</v>
      </c>
      <c r="R150" s="60"/>
      <c r="S150" s="60" t="s">
        <v>1195</v>
      </c>
      <c r="T150" s="6" t="str">
        <f t="shared" si="15"/>
        <v>Hot</v>
      </c>
      <c r="U150" s="60" t="s">
        <v>1196</v>
      </c>
      <c r="V150" t="str">
        <f t="shared" si="16"/>
        <v>startupjobs.asia</v>
      </c>
      <c r="W150" s="60" t="s">
        <v>1197</v>
      </c>
      <c r="X150" t="str">
        <f t="shared" si="17"/>
        <v>Positive</v>
      </c>
    </row>
    <row r="151" spans="1:24" x14ac:dyDescent="0.3">
      <c r="A151" s="6">
        <v>150</v>
      </c>
      <c r="B151" s="17">
        <v>43298</v>
      </c>
      <c r="C151" s="7" t="str">
        <f t="shared" si="12"/>
        <v>2018</v>
      </c>
      <c r="D151" s="7" t="str">
        <f t="shared" si="13"/>
        <v>Jul</v>
      </c>
      <c r="E151" s="17">
        <v>43299</v>
      </c>
      <c r="F151" s="7" t="str">
        <f t="shared" si="14"/>
        <v>Jul</v>
      </c>
      <c r="G151" s="16" t="s">
        <v>32</v>
      </c>
      <c r="H151" s="16" t="s">
        <v>1198</v>
      </c>
      <c r="I151" s="16" t="s">
        <v>1111</v>
      </c>
      <c r="J151" s="16" t="s">
        <v>1199</v>
      </c>
      <c r="K151" s="16" t="s">
        <v>20</v>
      </c>
      <c r="L151" s="16" t="s">
        <v>1200</v>
      </c>
      <c r="M151" s="16" t="s">
        <v>1201</v>
      </c>
      <c r="N151" s="16" t="s">
        <v>1202</v>
      </c>
      <c r="O151" s="16"/>
      <c r="P151" s="16"/>
      <c r="Q151" s="16"/>
      <c r="R151" s="16"/>
      <c r="S151" s="16" t="s">
        <v>1203</v>
      </c>
      <c r="T151" s="6" t="str">
        <f t="shared" si="15"/>
        <v>Warm</v>
      </c>
      <c r="U151" s="16" t="s">
        <v>1204</v>
      </c>
      <c r="V151" t="str">
        <f t="shared" si="16"/>
        <v>startupjobs.asia</v>
      </c>
      <c r="W151" s="16" t="s">
        <v>1205</v>
      </c>
      <c r="X151" t="str">
        <f t="shared" si="17"/>
        <v>Positive</v>
      </c>
    </row>
    <row r="152" spans="1:24" x14ac:dyDescent="0.3">
      <c r="A152" s="6">
        <v>151</v>
      </c>
      <c r="B152" s="10">
        <v>43298</v>
      </c>
      <c r="C152" s="7" t="str">
        <f t="shared" si="12"/>
        <v>2018</v>
      </c>
      <c r="D152" s="7" t="str">
        <f t="shared" si="13"/>
        <v>Jul</v>
      </c>
      <c r="E152" s="10">
        <v>43300</v>
      </c>
      <c r="F152" s="7" t="str">
        <f t="shared" si="14"/>
        <v>Jul</v>
      </c>
      <c r="G152" s="8" t="s">
        <v>17</v>
      </c>
      <c r="H152" s="8" t="s">
        <v>1206</v>
      </c>
      <c r="I152" s="8" t="s">
        <v>1188</v>
      </c>
      <c r="J152" s="8" t="s">
        <v>1207</v>
      </c>
      <c r="K152" s="8" t="s">
        <v>20</v>
      </c>
      <c r="L152" s="8" t="s">
        <v>1208</v>
      </c>
      <c r="M152" s="8"/>
      <c r="N152" s="8" t="s">
        <v>1209</v>
      </c>
      <c r="O152" s="8"/>
      <c r="P152" s="8"/>
      <c r="Q152" s="8"/>
      <c r="R152" s="8"/>
      <c r="S152" s="8" t="s">
        <v>1210</v>
      </c>
      <c r="T152" s="6" t="str">
        <f t="shared" si="15"/>
        <v>No Progress</v>
      </c>
      <c r="U152" s="8" t="s">
        <v>1211</v>
      </c>
      <c r="V152" t="str">
        <f t="shared" si="16"/>
        <v>startupjobs.asia</v>
      </c>
      <c r="W152" s="8" t="s">
        <v>1212</v>
      </c>
      <c r="X152" t="str">
        <f t="shared" si="17"/>
        <v>Neutral</v>
      </c>
    </row>
    <row r="153" spans="1:24" x14ac:dyDescent="0.3">
      <c r="A153" s="6">
        <v>152</v>
      </c>
      <c r="B153" s="10">
        <v>43298</v>
      </c>
      <c r="C153" s="7" t="str">
        <f t="shared" si="12"/>
        <v>2018</v>
      </c>
      <c r="D153" s="7" t="str">
        <f t="shared" si="13"/>
        <v>Jul</v>
      </c>
      <c r="E153" s="10">
        <v>43298</v>
      </c>
      <c r="F153" s="7" t="str">
        <f t="shared" si="14"/>
        <v>Jul</v>
      </c>
      <c r="G153" s="8" t="s">
        <v>17</v>
      </c>
      <c r="H153" s="8" t="s">
        <v>1213</v>
      </c>
      <c r="I153" s="8" t="s">
        <v>1188</v>
      </c>
      <c r="J153" s="39" t="s">
        <v>1214</v>
      </c>
      <c r="K153" s="8" t="s">
        <v>20</v>
      </c>
      <c r="L153" s="8" t="s">
        <v>1215</v>
      </c>
      <c r="M153" s="8"/>
      <c r="N153" s="8"/>
      <c r="O153" s="8"/>
      <c r="P153" s="8"/>
      <c r="Q153" s="8"/>
      <c r="R153" s="8"/>
      <c r="S153" s="8" t="s">
        <v>1216</v>
      </c>
      <c r="T153" s="6" t="str">
        <f t="shared" si="15"/>
        <v>No Progress</v>
      </c>
      <c r="U153" s="8" t="s">
        <v>1217</v>
      </c>
      <c r="V153" t="str">
        <f t="shared" si="16"/>
        <v>startupjobs.asia</v>
      </c>
      <c r="W153" s="8" t="s">
        <v>1218</v>
      </c>
      <c r="X153" t="str">
        <f t="shared" si="17"/>
        <v>Neutral</v>
      </c>
    </row>
    <row r="154" spans="1:24" x14ac:dyDescent="0.3">
      <c r="A154" s="6">
        <v>153</v>
      </c>
      <c r="B154" s="17">
        <v>43298</v>
      </c>
      <c r="C154" s="7" t="str">
        <f t="shared" si="12"/>
        <v>2018</v>
      </c>
      <c r="D154" s="7" t="str">
        <f t="shared" si="13"/>
        <v>Jul</v>
      </c>
      <c r="E154" s="17">
        <v>43299</v>
      </c>
      <c r="F154" s="7" t="str">
        <f t="shared" si="14"/>
        <v>Jul</v>
      </c>
      <c r="G154" s="16" t="s">
        <v>32</v>
      </c>
      <c r="H154" s="16" t="s">
        <v>1219</v>
      </c>
      <c r="I154" s="16" t="s">
        <v>1188</v>
      </c>
      <c r="J154" s="16" t="s">
        <v>1220</v>
      </c>
      <c r="K154" s="16" t="s">
        <v>20</v>
      </c>
      <c r="L154" s="16" t="s">
        <v>1221</v>
      </c>
      <c r="M154" s="16" t="s">
        <v>1222</v>
      </c>
      <c r="N154" s="16" t="s">
        <v>1223</v>
      </c>
      <c r="O154" s="16"/>
      <c r="P154" s="16"/>
      <c r="Q154" s="16" t="s">
        <v>1224</v>
      </c>
      <c r="R154" s="16"/>
      <c r="S154" s="16" t="s">
        <v>1225</v>
      </c>
      <c r="T154" s="6" t="str">
        <f t="shared" si="15"/>
        <v>Warm</v>
      </c>
      <c r="U154" s="16" t="s">
        <v>1226</v>
      </c>
      <c r="V154" t="str">
        <f t="shared" si="16"/>
        <v>startupjobs.asia</v>
      </c>
      <c r="W154" s="16" t="s">
        <v>1227</v>
      </c>
      <c r="X154" t="str">
        <f t="shared" si="17"/>
        <v>Positive</v>
      </c>
    </row>
    <row r="155" spans="1:24" x14ac:dyDescent="0.3">
      <c r="A155" s="6">
        <v>154</v>
      </c>
      <c r="B155" s="10">
        <v>43298</v>
      </c>
      <c r="C155" s="7" t="str">
        <f t="shared" si="12"/>
        <v>2018</v>
      </c>
      <c r="D155" s="7" t="str">
        <f t="shared" si="13"/>
        <v>Jul</v>
      </c>
      <c r="E155" s="10">
        <v>43299</v>
      </c>
      <c r="F155" s="7" t="str">
        <f t="shared" si="14"/>
        <v>Jul</v>
      </c>
      <c r="G155" s="8" t="s">
        <v>17</v>
      </c>
      <c r="H155" s="8" t="s">
        <v>1228</v>
      </c>
      <c r="I155" s="8" t="s">
        <v>514</v>
      </c>
      <c r="J155" s="8" t="s">
        <v>1229</v>
      </c>
      <c r="K155" s="8" t="s">
        <v>20</v>
      </c>
      <c r="L155" s="8" t="s">
        <v>1230</v>
      </c>
      <c r="M155" s="8" t="s">
        <v>1231</v>
      </c>
      <c r="N155" s="8" t="s">
        <v>1232</v>
      </c>
      <c r="O155" s="8"/>
      <c r="P155" s="8"/>
      <c r="Q155" s="8"/>
      <c r="R155" s="8"/>
      <c r="S155" s="8" t="s">
        <v>1233</v>
      </c>
      <c r="T155" s="6" t="str">
        <f t="shared" si="15"/>
        <v>No Progress</v>
      </c>
      <c r="U155" s="8" t="s">
        <v>1234</v>
      </c>
      <c r="V155" t="str">
        <f t="shared" si="16"/>
        <v>startupjobs.asia</v>
      </c>
      <c r="W155" s="8" t="s">
        <v>1235</v>
      </c>
      <c r="X155" t="str">
        <f t="shared" si="17"/>
        <v>Positive</v>
      </c>
    </row>
    <row r="156" spans="1:24" x14ac:dyDescent="0.3">
      <c r="A156" s="6">
        <v>155</v>
      </c>
      <c r="B156" s="13">
        <v>43298</v>
      </c>
      <c r="C156" s="7" t="str">
        <f t="shared" si="12"/>
        <v>2018</v>
      </c>
      <c r="D156" s="7" t="str">
        <f t="shared" si="13"/>
        <v>Jul</v>
      </c>
      <c r="E156" s="13">
        <v>43299</v>
      </c>
      <c r="F156" s="7" t="str">
        <f t="shared" si="14"/>
        <v>Jul</v>
      </c>
      <c r="G156" s="11" t="s">
        <v>32</v>
      </c>
      <c r="H156" s="11" t="s">
        <v>1236</v>
      </c>
      <c r="I156" s="11" t="s">
        <v>1028</v>
      </c>
      <c r="J156" s="11" t="s">
        <v>1237</v>
      </c>
      <c r="K156" s="11" t="s">
        <v>20</v>
      </c>
      <c r="L156" s="11" t="s">
        <v>1238</v>
      </c>
      <c r="M156" s="11" t="s">
        <v>1239</v>
      </c>
      <c r="N156" s="11" t="s">
        <v>1240</v>
      </c>
      <c r="O156" s="11"/>
      <c r="P156" s="11"/>
      <c r="Q156" s="11" t="s">
        <v>1241</v>
      </c>
      <c r="R156" s="11"/>
      <c r="S156" s="11" t="s">
        <v>1242</v>
      </c>
      <c r="T156" s="6" t="str">
        <f t="shared" si="15"/>
        <v>Cold</v>
      </c>
      <c r="U156" s="11" t="s">
        <v>1243</v>
      </c>
      <c r="V156" t="str">
        <f t="shared" si="16"/>
        <v>startupjobs.asia</v>
      </c>
      <c r="W156" s="11" t="s">
        <v>1244</v>
      </c>
      <c r="X156" t="str">
        <f t="shared" si="17"/>
        <v>Positive</v>
      </c>
    </row>
    <row r="157" spans="1:24" x14ac:dyDescent="0.3">
      <c r="A157" s="6">
        <v>156</v>
      </c>
      <c r="B157" s="17">
        <v>43298</v>
      </c>
      <c r="C157" s="7" t="str">
        <f t="shared" si="12"/>
        <v>2018</v>
      </c>
      <c r="D157" s="7" t="str">
        <f t="shared" si="13"/>
        <v>Jul</v>
      </c>
      <c r="E157" s="17">
        <v>43299</v>
      </c>
      <c r="F157" s="7" t="str">
        <f t="shared" si="14"/>
        <v>Jul</v>
      </c>
      <c r="G157" s="16" t="s">
        <v>17</v>
      </c>
      <c r="H157" s="16" t="s">
        <v>1245</v>
      </c>
      <c r="I157" s="16" t="s">
        <v>175</v>
      </c>
      <c r="J157" s="16" t="s">
        <v>1246</v>
      </c>
      <c r="K157" s="16" t="s">
        <v>20</v>
      </c>
      <c r="L157" s="16" t="s">
        <v>1247</v>
      </c>
      <c r="M157" s="16" t="s">
        <v>1248</v>
      </c>
      <c r="N157" s="16" t="s">
        <v>1249</v>
      </c>
      <c r="O157" s="16"/>
      <c r="P157" s="16"/>
      <c r="Q157" s="16" t="s">
        <v>1250</v>
      </c>
      <c r="R157" s="16"/>
      <c r="S157" s="16" t="s">
        <v>1251</v>
      </c>
      <c r="T157" s="6" t="str">
        <f t="shared" si="15"/>
        <v>Warm</v>
      </c>
      <c r="U157" s="16" t="s">
        <v>1252</v>
      </c>
      <c r="V157" t="str">
        <f t="shared" si="16"/>
        <v>startupjobs.asia</v>
      </c>
      <c r="W157" s="16" t="s">
        <v>1253</v>
      </c>
      <c r="X157" t="str">
        <f t="shared" si="17"/>
        <v>Positive</v>
      </c>
    </row>
    <row r="158" spans="1:24" x14ac:dyDescent="0.3">
      <c r="A158" s="6">
        <v>157</v>
      </c>
      <c r="B158" s="61">
        <v>43298</v>
      </c>
      <c r="C158" s="7" t="str">
        <f t="shared" si="12"/>
        <v>2018</v>
      </c>
      <c r="D158" s="7" t="str">
        <f t="shared" si="13"/>
        <v>Jul</v>
      </c>
      <c r="E158" s="61">
        <v>43299</v>
      </c>
      <c r="F158" s="7" t="str">
        <f t="shared" si="14"/>
        <v>Jul</v>
      </c>
      <c r="G158" s="60" t="s">
        <v>32</v>
      </c>
      <c r="H158" s="60" t="s">
        <v>1254</v>
      </c>
      <c r="I158" s="60" t="s">
        <v>204</v>
      </c>
      <c r="J158" s="60" t="s">
        <v>1255</v>
      </c>
      <c r="K158" s="60" t="s">
        <v>20</v>
      </c>
      <c r="L158" s="60" t="s">
        <v>1256</v>
      </c>
      <c r="M158" s="60" t="s">
        <v>1257</v>
      </c>
      <c r="N158" s="60" t="s">
        <v>1258</v>
      </c>
      <c r="O158" s="60"/>
      <c r="P158" s="60"/>
      <c r="Q158" s="60"/>
      <c r="R158" s="60"/>
      <c r="S158" s="60" t="s">
        <v>1259</v>
      </c>
      <c r="T158" s="6" t="str">
        <f t="shared" si="15"/>
        <v>Hot</v>
      </c>
      <c r="U158" s="60" t="s">
        <v>1260</v>
      </c>
      <c r="V158" t="str">
        <f t="shared" si="16"/>
        <v>startupjobs.asia</v>
      </c>
      <c r="W158" s="60" t="s">
        <v>1261</v>
      </c>
      <c r="X158" t="str">
        <f t="shared" si="17"/>
        <v>Negative</v>
      </c>
    </row>
    <row r="159" spans="1:24" x14ac:dyDescent="0.3">
      <c r="A159" s="6">
        <v>158</v>
      </c>
      <c r="B159" s="10">
        <v>43298</v>
      </c>
      <c r="C159" s="7" t="str">
        <f t="shared" si="12"/>
        <v>2018</v>
      </c>
      <c r="D159" s="7" t="str">
        <f t="shared" si="13"/>
        <v>Jul</v>
      </c>
      <c r="E159" s="10">
        <v>43300</v>
      </c>
      <c r="F159" s="7" t="str">
        <f t="shared" si="14"/>
        <v>Jul</v>
      </c>
      <c r="G159" s="8" t="s">
        <v>32</v>
      </c>
      <c r="H159" s="8" t="s">
        <v>1262</v>
      </c>
      <c r="I159" s="8" t="s">
        <v>1111</v>
      </c>
      <c r="J159" s="8" t="s">
        <v>1263</v>
      </c>
      <c r="K159" s="8" t="s">
        <v>20</v>
      </c>
      <c r="L159" s="8" t="s">
        <v>1264</v>
      </c>
      <c r="M159" s="8"/>
      <c r="N159" s="8" t="s">
        <v>1265</v>
      </c>
      <c r="O159" s="8"/>
      <c r="P159" s="8"/>
      <c r="Q159" s="8"/>
      <c r="R159" s="8"/>
      <c r="S159" s="8" t="s">
        <v>1266</v>
      </c>
      <c r="T159" s="6" t="str">
        <f t="shared" si="15"/>
        <v>No Progress</v>
      </c>
      <c r="U159" s="8" t="s">
        <v>1267</v>
      </c>
      <c r="V159" t="str">
        <f t="shared" si="16"/>
        <v>www.techinasia.com</v>
      </c>
      <c r="W159" s="8" t="s">
        <v>1268</v>
      </c>
      <c r="X159" t="str">
        <f t="shared" si="17"/>
        <v>Neutral</v>
      </c>
    </row>
    <row r="160" spans="1:24" x14ac:dyDescent="0.3">
      <c r="A160" s="6">
        <v>159</v>
      </c>
      <c r="B160" s="10">
        <v>43298</v>
      </c>
      <c r="C160" s="7" t="str">
        <f t="shared" si="12"/>
        <v>2018</v>
      </c>
      <c r="D160" s="7" t="str">
        <f t="shared" si="13"/>
        <v>Jul</v>
      </c>
      <c r="E160" s="10">
        <v>43300</v>
      </c>
      <c r="F160" s="7" t="str">
        <f t="shared" si="14"/>
        <v>Jul</v>
      </c>
      <c r="G160" s="8" t="s">
        <v>32</v>
      </c>
      <c r="H160" s="8" t="s">
        <v>1269</v>
      </c>
      <c r="I160" s="8" t="s">
        <v>1188</v>
      </c>
      <c r="J160" s="8" t="s">
        <v>1270</v>
      </c>
      <c r="K160" s="8" t="s">
        <v>20</v>
      </c>
      <c r="L160" s="8" t="s">
        <v>1271</v>
      </c>
      <c r="M160" s="8" t="s">
        <v>1272</v>
      </c>
      <c r="N160" s="8" t="s">
        <v>1273</v>
      </c>
      <c r="O160" s="8"/>
      <c r="P160" s="8"/>
      <c r="Q160" s="8"/>
      <c r="R160" s="8"/>
      <c r="S160" s="8" t="s">
        <v>1274</v>
      </c>
      <c r="T160" s="6" t="str">
        <f t="shared" si="15"/>
        <v>No Progress</v>
      </c>
      <c r="U160" s="8" t="s">
        <v>1275</v>
      </c>
      <c r="V160" t="str">
        <f t="shared" si="16"/>
        <v>www.techinasia.com</v>
      </c>
      <c r="W160" s="8" t="s">
        <v>1276</v>
      </c>
      <c r="X160" t="str">
        <f t="shared" si="17"/>
        <v>Negative</v>
      </c>
    </row>
    <row r="161" spans="1:24" x14ac:dyDescent="0.3">
      <c r="A161" s="6">
        <v>160</v>
      </c>
      <c r="B161" s="10">
        <v>43298</v>
      </c>
      <c r="C161" s="7" t="str">
        <f t="shared" si="12"/>
        <v>2018</v>
      </c>
      <c r="D161" s="7" t="str">
        <f t="shared" si="13"/>
        <v>Jul</v>
      </c>
      <c r="E161" s="10">
        <v>43300</v>
      </c>
      <c r="F161" s="7" t="str">
        <f t="shared" si="14"/>
        <v>Jul</v>
      </c>
      <c r="G161" s="8" t="s">
        <v>17</v>
      </c>
      <c r="H161" s="8" t="s">
        <v>1277</v>
      </c>
      <c r="I161" s="8" t="s">
        <v>1188</v>
      </c>
      <c r="J161" s="8" t="s">
        <v>1278</v>
      </c>
      <c r="K161" s="8" t="s">
        <v>20</v>
      </c>
      <c r="L161" s="8" t="s">
        <v>1279</v>
      </c>
      <c r="M161" s="8" t="s">
        <v>1280</v>
      </c>
      <c r="N161" s="8" t="s">
        <v>1281</v>
      </c>
      <c r="P161" s="8"/>
      <c r="Q161" s="8" t="s">
        <v>1282</v>
      </c>
      <c r="R161" s="8" t="s">
        <v>1283</v>
      </c>
      <c r="S161" s="8" t="s">
        <v>1284</v>
      </c>
      <c r="T161" s="6" t="str">
        <f t="shared" si="15"/>
        <v>No Progress</v>
      </c>
      <c r="U161" s="8" t="s">
        <v>1285</v>
      </c>
      <c r="V161" t="str">
        <f t="shared" si="16"/>
        <v>www.techinasia.com</v>
      </c>
      <c r="W161" s="8" t="s">
        <v>1286</v>
      </c>
      <c r="X161" t="str">
        <f t="shared" si="17"/>
        <v>Negative</v>
      </c>
    </row>
    <row r="162" spans="1:24" x14ac:dyDescent="0.3">
      <c r="A162" s="6">
        <v>161</v>
      </c>
      <c r="B162" s="13">
        <v>43299</v>
      </c>
      <c r="C162" s="7" t="str">
        <f t="shared" si="12"/>
        <v>2018</v>
      </c>
      <c r="D162" s="7" t="str">
        <f t="shared" si="13"/>
        <v>Jul</v>
      </c>
      <c r="E162" s="13">
        <v>43300</v>
      </c>
      <c r="F162" s="7" t="str">
        <f t="shared" si="14"/>
        <v>Jul</v>
      </c>
      <c r="G162" s="11" t="s">
        <v>32</v>
      </c>
      <c r="H162" s="11" t="s">
        <v>1287</v>
      </c>
      <c r="I162" s="11" t="s">
        <v>1188</v>
      </c>
      <c r="J162" s="11" t="s">
        <v>1288</v>
      </c>
      <c r="K162" s="11" t="s">
        <v>20</v>
      </c>
      <c r="L162" s="11" t="s">
        <v>1289</v>
      </c>
      <c r="M162" s="11" t="s">
        <v>1290</v>
      </c>
      <c r="N162" s="11" t="s">
        <v>1291</v>
      </c>
      <c r="O162" s="11"/>
      <c r="P162" s="11"/>
      <c r="Q162" s="37"/>
      <c r="R162" s="11"/>
      <c r="S162" s="11" t="s">
        <v>1292</v>
      </c>
      <c r="T162" s="6" t="str">
        <f t="shared" si="15"/>
        <v>Cold</v>
      </c>
      <c r="U162" s="11" t="s">
        <v>1293</v>
      </c>
      <c r="V162" t="str">
        <f t="shared" si="16"/>
        <v>startupjobs.asia</v>
      </c>
      <c r="W162" s="11" t="s">
        <v>1294</v>
      </c>
      <c r="X162" t="str">
        <f t="shared" si="17"/>
        <v>Positive</v>
      </c>
    </row>
    <row r="163" spans="1:24" x14ac:dyDescent="0.3">
      <c r="A163" s="6">
        <v>162</v>
      </c>
      <c r="B163" s="10">
        <v>43299</v>
      </c>
      <c r="C163" s="7" t="str">
        <f t="shared" si="12"/>
        <v>2018</v>
      </c>
      <c r="D163" s="7" t="str">
        <f t="shared" si="13"/>
        <v>Jul</v>
      </c>
      <c r="E163" s="10">
        <v>43300</v>
      </c>
      <c r="F163" s="7" t="str">
        <f t="shared" si="14"/>
        <v>Jul</v>
      </c>
      <c r="G163" s="8" t="s">
        <v>32</v>
      </c>
      <c r="H163" s="8" t="s">
        <v>1295</v>
      </c>
      <c r="I163" s="8" t="s">
        <v>1296</v>
      </c>
      <c r="J163" s="8" t="s">
        <v>1297</v>
      </c>
      <c r="K163" s="8" t="s">
        <v>20</v>
      </c>
      <c r="L163" s="8" t="s">
        <v>1298</v>
      </c>
      <c r="M163" s="8" t="s">
        <v>1299</v>
      </c>
      <c r="N163" s="8" t="s">
        <v>1300</v>
      </c>
      <c r="O163" s="8"/>
      <c r="P163" s="8"/>
      <c r="Q163" s="8" t="s">
        <v>1301</v>
      </c>
      <c r="R163" s="8"/>
      <c r="S163" s="8" t="s">
        <v>1302</v>
      </c>
      <c r="T163" s="6" t="str">
        <f t="shared" si="15"/>
        <v>No Progress</v>
      </c>
      <c r="U163" s="8" t="s">
        <v>1303</v>
      </c>
      <c r="V163" t="str">
        <f t="shared" si="16"/>
        <v>www.techinasia.com</v>
      </c>
      <c r="W163" t="s">
        <v>1304</v>
      </c>
      <c r="X163" t="str">
        <f t="shared" si="17"/>
        <v>Negative</v>
      </c>
    </row>
    <row r="164" spans="1:24" x14ac:dyDescent="0.3">
      <c r="A164" s="6">
        <v>163</v>
      </c>
      <c r="B164" s="10">
        <v>43299</v>
      </c>
      <c r="C164" s="7" t="str">
        <f t="shared" si="12"/>
        <v>2018</v>
      </c>
      <c r="D164" s="7" t="str">
        <f t="shared" si="13"/>
        <v>Jul</v>
      </c>
      <c r="E164" s="10">
        <v>43299</v>
      </c>
      <c r="F164" s="7" t="str">
        <f t="shared" si="14"/>
        <v>Jul</v>
      </c>
      <c r="G164" s="8" t="s">
        <v>76</v>
      </c>
      <c r="H164" s="8" t="s">
        <v>1305</v>
      </c>
      <c r="I164" s="8" t="s">
        <v>1188</v>
      </c>
      <c r="J164" s="8" t="s">
        <v>1306</v>
      </c>
      <c r="K164" s="8" t="s">
        <v>20</v>
      </c>
      <c r="L164" s="8" t="s">
        <v>1307</v>
      </c>
      <c r="M164" s="8"/>
      <c r="N164" s="8" t="s">
        <v>1308</v>
      </c>
      <c r="O164" s="8"/>
      <c r="P164" s="8"/>
      <c r="Q164" s="8"/>
      <c r="R164" s="8"/>
      <c r="S164" s="8" t="s">
        <v>1309</v>
      </c>
      <c r="T164" s="6" t="str">
        <f t="shared" si="15"/>
        <v>No Progress</v>
      </c>
      <c r="U164" s="8" t="s">
        <v>1310</v>
      </c>
      <c r="V164" t="str">
        <f t="shared" si="16"/>
        <v>www.f6s.com</v>
      </c>
      <c r="W164" s="8" t="s">
        <v>1311</v>
      </c>
      <c r="X164" t="str">
        <f t="shared" si="17"/>
        <v>Neutral</v>
      </c>
    </row>
    <row r="165" spans="1:24" x14ac:dyDescent="0.3">
      <c r="A165" s="6">
        <v>164</v>
      </c>
      <c r="B165" s="10">
        <v>43299</v>
      </c>
      <c r="C165" s="7" t="str">
        <f t="shared" si="12"/>
        <v>2018</v>
      </c>
      <c r="D165" s="7" t="str">
        <f t="shared" si="13"/>
        <v>Jul</v>
      </c>
      <c r="E165" s="10">
        <v>43299</v>
      </c>
      <c r="F165" s="7" t="str">
        <f t="shared" si="14"/>
        <v>Jul</v>
      </c>
      <c r="G165" s="8" t="s">
        <v>748</v>
      </c>
      <c r="H165" s="8" t="s">
        <v>1312</v>
      </c>
      <c r="I165" s="8" t="s">
        <v>1028</v>
      </c>
      <c r="J165" s="8" t="s">
        <v>1313</v>
      </c>
      <c r="K165" s="8" t="s">
        <v>20</v>
      </c>
      <c r="L165" s="8" t="s">
        <v>1314</v>
      </c>
      <c r="M165" s="8"/>
      <c r="N165" s="8" t="s">
        <v>1315</v>
      </c>
      <c r="O165" s="8"/>
      <c r="P165" s="8"/>
      <c r="Q165" s="8"/>
      <c r="R165" s="8"/>
      <c r="S165" s="8" t="s">
        <v>1309</v>
      </c>
      <c r="T165" s="6" t="str">
        <f t="shared" si="15"/>
        <v>No Progress</v>
      </c>
      <c r="U165" s="8" t="s">
        <v>1316</v>
      </c>
      <c r="V165" t="str">
        <f t="shared" si="16"/>
        <v>www.f6s.com</v>
      </c>
      <c r="W165" s="39" t="s">
        <v>1317</v>
      </c>
      <c r="X165" t="str">
        <f t="shared" si="17"/>
        <v>Neutral</v>
      </c>
    </row>
    <row r="166" spans="1:24" x14ac:dyDescent="0.3">
      <c r="A166" s="6">
        <v>165</v>
      </c>
      <c r="B166" s="10">
        <v>43299</v>
      </c>
      <c r="C166" s="7" t="str">
        <f t="shared" si="12"/>
        <v>2018</v>
      </c>
      <c r="D166" s="7" t="str">
        <f t="shared" si="13"/>
        <v>Jul</v>
      </c>
      <c r="E166" s="10">
        <v>43299</v>
      </c>
      <c r="F166" s="7" t="str">
        <f t="shared" si="14"/>
        <v>Jul</v>
      </c>
      <c r="G166" s="8" t="s">
        <v>490</v>
      </c>
      <c r="H166" s="8" t="s">
        <v>1318</v>
      </c>
      <c r="I166" s="8" t="s">
        <v>1319</v>
      </c>
      <c r="J166" s="8"/>
      <c r="K166" s="8" t="s">
        <v>20</v>
      </c>
      <c r="L166" s="8" t="s">
        <v>1320</v>
      </c>
      <c r="M166" s="8"/>
      <c r="O166" s="8"/>
      <c r="P166" s="8"/>
      <c r="Q166" s="8"/>
      <c r="R166" s="8"/>
      <c r="S166" s="8" t="s">
        <v>1321</v>
      </c>
      <c r="T166" s="6" t="str">
        <f t="shared" si="15"/>
        <v>No Progress</v>
      </c>
      <c r="U166" s="8" t="s">
        <v>1322</v>
      </c>
      <c r="V166" t="str">
        <f t="shared" si="16"/>
        <v>www.f6s.com</v>
      </c>
      <c r="W166" s="39" t="s">
        <v>1323</v>
      </c>
      <c r="X166" t="str">
        <f t="shared" si="17"/>
        <v>Neutral</v>
      </c>
    </row>
    <row r="167" spans="1:24" ht="28.8" x14ac:dyDescent="0.3">
      <c r="A167" s="6">
        <v>166</v>
      </c>
      <c r="B167" s="10">
        <v>43299</v>
      </c>
      <c r="C167" s="7" t="str">
        <f t="shared" si="12"/>
        <v>2018</v>
      </c>
      <c r="D167" s="7" t="str">
        <f t="shared" si="13"/>
        <v>Jul</v>
      </c>
      <c r="E167" s="10">
        <v>43299</v>
      </c>
      <c r="F167" s="7" t="str">
        <f t="shared" si="14"/>
        <v>Jul</v>
      </c>
      <c r="G167" s="8" t="s">
        <v>490</v>
      </c>
      <c r="H167" s="8" t="s">
        <v>1324</v>
      </c>
      <c r="I167" s="8" t="s">
        <v>330</v>
      </c>
      <c r="J167" s="8" t="s">
        <v>1325</v>
      </c>
      <c r="K167" s="8" t="s">
        <v>20</v>
      </c>
      <c r="L167" s="40" t="s">
        <v>1326</v>
      </c>
      <c r="M167" s="8"/>
      <c r="N167" s="8" t="s">
        <v>1327</v>
      </c>
      <c r="O167" s="8"/>
      <c r="P167" s="8"/>
      <c r="Q167" s="39" t="s">
        <v>1328</v>
      </c>
      <c r="R167" s="8"/>
      <c r="S167" s="8" t="s">
        <v>1309</v>
      </c>
      <c r="T167" s="6" t="str">
        <f t="shared" si="15"/>
        <v>No Progress</v>
      </c>
      <c r="U167" s="39" t="s">
        <v>1329</v>
      </c>
      <c r="V167" t="str">
        <f t="shared" si="16"/>
        <v>www.f6s.com</v>
      </c>
      <c r="W167" s="39" t="s">
        <v>1330</v>
      </c>
      <c r="X167" t="str">
        <f t="shared" si="17"/>
        <v>Neutral</v>
      </c>
    </row>
    <row r="168" spans="1:24" x14ac:dyDescent="0.3">
      <c r="A168" s="6">
        <v>167</v>
      </c>
      <c r="B168" s="10">
        <v>43299</v>
      </c>
      <c r="C168" s="7" t="str">
        <f t="shared" si="12"/>
        <v>2018</v>
      </c>
      <c r="D168" s="7" t="str">
        <f t="shared" si="13"/>
        <v>Jul</v>
      </c>
      <c r="E168" s="10">
        <v>43300</v>
      </c>
      <c r="F168" s="7" t="str">
        <f t="shared" si="14"/>
        <v>Jul</v>
      </c>
      <c r="G168" s="8" t="s">
        <v>712</v>
      </c>
      <c r="H168" s="8" t="s">
        <v>1331</v>
      </c>
      <c r="I168" s="8" t="s">
        <v>427</v>
      </c>
      <c r="J168" s="39" t="s">
        <v>1332</v>
      </c>
      <c r="K168" s="8" t="s">
        <v>20</v>
      </c>
      <c r="L168" s="8" t="s">
        <v>1333</v>
      </c>
      <c r="M168" s="8" t="s">
        <v>1334</v>
      </c>
      <c r="N168" s="39" t="s">
        <v>1335</v>
      </c>
      <c r="O168" s="8"/>
      <c r="P168" s="8"/>
      <c r="Q168" s="39" t="s">
        <v>1336</v>
      </c>
      <c r="R168" s="39" t="s">
        <v>1337</v>
      </c>
      <c r="S168" s="8" t="s">
        <v>1338</v>
      </c>
      <c r="T168" s="6" t="str">
        <f t="shared" si="15"/>
        <v>No Progress</v>
      </c>
      <c r="U168" s="39" t="s">
        <v>1339</v>
      </c>
      <c r="V168" t="str">
        <f t="shared" si="16"/>
        <v>www.f6s.com</v>
      </c>
      <c r="W168" s="39" t="s">
        <v>1340</v>
      </c>
      <c r="X168" t="str">
        <f t="shared" si="17"/>
        <v>Neutral</v>
      </c>
    </row>
    <row r="169" spans="1:24" x14ac:dyDescent="0.3">
      <c r="A169" s="6">
        <v>168</v>
      </c>
      <c r="B169" s="17">
        <v>43299</v>
      </c>
      <c r="C169" s="7" t="str">
        <f t="shared" si="12"/>
        <v>2018</v>
      </c>
      <c r="D169" s="7" t="str">
        <f t="shared" si="13"/>
        <v>Jul</v>
      </c>
      <c r="E169" s="17">
        <v>43300</v>
      </c>
      <c r="F169" s="7" t="str">
        <f t="shared" si="14"/>
        <v>Jul</v>
      </c>
      <c r="G169" s="16" t="s">
        <v>748</v>
      </c>
      <c r="H169" s="16" t="s">
        <v>1341</v>
      </c>
      <c r="I169" s="16" t="s">
        <v>1188</v>
      </c>
      <c r="J169" s="41" t="s">
        <v>1342</v>
      </c>
      <c r="K169" s="16" t="s">
        <v>20</v>
      </c>
      <c r="L169" s="16" t="s">
        <v>1343</v>
      </c>
      <c r="M169" s="16" t="s">
        <v>1344</v>
      </c>
      <c r="N169" s="41" t="s">
        <v>1345</v>
      </c>
      <c r="O169" s="16"/>
      <c r="P169" s="16" t="s">
        <v>1346</v>
      </c>
      <c r="Q169" s="41" t="s">
        <v>1347</v>
      </c>
      <c r="R169" s="41" t="s">
        <v>1348</v>
      </c>
      <c r="S169" s="16" t="s">
        <v>1349</v>
      </c>
      <c r="T169" s="6" t="str">
        <f t="shared" si="15"/>
        <v>Warm</v>
      </c>
      <c r="U169" s="41" t="s">
        <v>1350</v>
      </c>
      <c r="V169" t="str">
        <f t="shared" si="16"/>
        <v>www.f6s.com</v>
      </c>
      <c r="W169" s="41" t="s">
        <v>1351</v>
      </c>
      <c r="X169" t="str">
        <f t="shared" si="17"/>
        <v>Negative</v>
      </c>
    </row>
    <row r="170" spans="1:24" x14ac:dyDescent="0.3">
      <c r="A170" s="6">
        <v>169</v>
      </c>
      <c r="B170" s="10">
        <v>43299</v>
      </c>
      <c r="C170" s="7" t="str">
        <f t="shared" si="12"/>
        <v>2018</v>
      </c>
      <c r="D170" s="7" t="str">
        <f t="shared" si="13"/>
        <v>Jul</v>
      </c>
      <c r="E170" s="10">
        <v>43299</v>
      </c>
      <c r="F170" s="7" t="str">
        <f t="shared" si="14"/>
        <v>Jul</v>
      </c>
      <c r="G170" s="8" t="s">
        <v>213</v>
      </c>
      <c r="H170" s="8" t="s">
        <v>1352</v>
      </c>
      <c r="I170" s="8" t="s">
        <v>379</v>
      </c>
      <c r="J170" s="39" t="s">
        <v>1353</v>
      </c>
      <c r="K170" s="8" t="s">
        <v>20</v>
      </c>
      <c r="L170" s="8" t="s">
        <v>1354</v>
      </c>
      <c r="M170" s="8"/>
      <c r="N170" s="39" t="s">
        <v>1355</v>
      </c>
      <c r="O170" s="8"/>
      <c r="P170" s="8"/>
      <c r="Q170" s="39" t="s">
        <v>1356</v>
      </c>
      <c r="R170" s="8"/>
      <c r="S170" s="8" t="s">
        <v>1309</v>
      </c>
      <c r="T170" s="6" t="str">
        <f t="shared" si="15"/>
        <v>No Progress</v>
      </c>
      <c r="U170" s="39" t="s">
        <v>1357</v>
      </c>
      <c r="V170" t="str">
        <f t="shared" si="16"/>
        <v>www.f6s.com</v>
      </c>
      <c r="W170" s="39" t="s">
        <v>1358</v>
      </c>
      <c r="X170" t="str">
        <f t="shared" si="17"/>
        <v>Neutral</v>
      </c>
    </row>
    <row r="171" spans="1:24" x14ac:dyDescent="0.3">
      <c r="A171" s="6">
        <v>170</v>
      </c>
      <c r="B171" s="13">
        <v>43299</v>
      </c>
      <c r="C171" s="7" t="str">
        <f t="shared" si="12"/>
        <v>2018</v>
      </c>
      <c r="D171" s="7" t="str">
        <f t="shared" si="13"/>
        <v>Jul</v>
      </c>
      <c r="E171" s="13">
        <v>43300</v>
      </c>
      <c r="F171" s="7" t="str">
        <f t="shared" si="14"/>
        <v>Jul</v>
      </c>
      <c r="G171" s="11" t="s">
        <v>521</v>
      </c>
      <c r="H171" s="11" t="s">
        <v>1359</v>
      </c>
      <c r="I171" s="11" t="s">
        <v>1360</v>
      </c>
      <c r="J171" s="42" t="s">
        <v>1361</v>
      </c>
      <c r="K171" s="11" t="s">
        <v>20</v>
      </c>
      <c r="L171" s="11" t="s">
        <v>1362</v>
      </c>
      <c r="M171" s="11" t="s">
        <v>1363</v>
      </c>
      <c r="N171" s="43" t="s">
        <v>1364</v>
      </c>
      <c r="O171" s="11"/>
      <c r="P171" s="11"/>
      <c r="Q171" s="42" t="s">
        <v>1365</v>
      </c>
      <c r="R171" s="11"/>
      <c r="S171" s="11" t="s">
        <v>1366</v>
      </c>
      <c r="T171" s="6" t="str">
        <f t="shared" si="15"/>
        <v>Cold</v>
      </c>
      <c r="U171" s="42" t="s">
        <v>1367</v>
      </c>
      <c r="V171" t="str">
        <f t="shared" si="16"/>
        <v>www.f6s.com</v>
      </c>
      <c r="W171" s="42" t="s">
        <v>1368</v>
      </c>
      <c r="X171" t="str">
        <f t="shared" si="17"/>
        <v>Positive</v>
      </c>
    </row>
    <row r="172" spans="1:24" x14ac:dyDescent="0.3">
      <c r="A172" s="6">
        <v>171</v>
      </c>
      <c r="B172" s="10">
        <v>43299</v>
      </c>
      <c r="C172" s="7" t="str">
        <f t="shared" si="12"/>
        <v>2018</v>
      </c>
      <c r="D172" s="7" t="str">
        <f t="shared" si="13"/>
        <v>Jul</v>
      </c>
      <c r="E172" s="10">
        <v>43299</v>
      </c>
      <c r="F172" s="7" t="str">
        <f t="shared" si="14"/>
        <v>Jul</v>
      </c>
      <c r="G172" s="8" t="s">
        <v>490</v>
      </c>
      <c r="H172" s="8" t="s">
        <v>1369</v>
      </c>
      <c r="I172" s="8" t="s">
        <v>119</v>
      </c>
      <c r="J172" s="39" t="s">
        <v>1370</v>
      </c>
      <c r="K172" s="8" t="s">
        <v>20</v>
      </c>
      <c r="L172" s="8" t="s">
        <v>1371</v>
      </c>
      <c r="M172" s="8"/>
      <c r="N172" s="8" t="s">
        <v>1372</v>
      </c>
      <c r="O172" s="8"/>
      <c r="P172" s="8"/>
      <c r="Q172" s="39" t="s">
        <v>1373</v>
      </c>
      <c r="R172" s="8"/>
      <c r="S172" s="8" t="s">
        <v>1309</v>
      </c>
      <c r="T172" s="6" t="str">
        <f t="shared" si="15"/>
        <v>No Progress</v>
      </c>
      <c r="U172" s="39" t="s">
        <v>1374</v>
      </c>
      <c r="V172" t="str">
        <f t="shared" si="16"/>
        <v>www.f6s.com</v>
      </c>
      <c r="W172" s="39" t="s">
        <v>1375</v>
      </c>
      <c r="X172" t="str">
        <f t="shared" si="17"/>
        <v>Neutral</v>
      </c>
    </row>
    <row r="173" spans="1:24" x14ac:dyDescent="0.3">
      <c r="A173" s="6">
        <v>172</v>
      </c>
      <c r="B173" s="10">
        <v>43299</v>
      </c>
      <c r="C173" s="7" t="str">
        <f t="shared" si="12"/>
        <v>2018</v>
      </c>
      <c r="D173" s="7" t="str">
        <f t="shared" si="13"/>
        <v>Jul</v>
      </c>
      <c r="E173" s="10">
        <v>43299</v>
      </c>
      <c r="F173" s="7" t="str">
        <f t="shared" si="14"/>
        <v>Jul</v>
      </c>
      <c r="G173" s="8" t="s">
        <v>1376</v>
      </c>
      <c r="H173" s="8" t="s">
        <v>1377</v>
      </c>
      <c r="I173" s="8" t="s">
        <v>1378</v>
      </c>
      <c r="J173" s="8"/>
      <c r="K173" s="8" t="s">
        <v>20</v>
      </c>
      <c r="L173" s="8" t="s">
        <v>1379</v>
      </c>
      <c r="M173" s="8"/>
      <c r="N173" s="8"/>
      <c r="O173" s="8"/>
      <c r="P173" s="8"/>
      <c r="Q173" s="8"/>
      <c r="R173" s="8"/>
      <c r="S173" s="8" t="s">
        <v>1321</v>
      </c>
      <c r="T173" s="6" t="str">
        <f t="shared" si="15"/>
        <v>No Progress</v>
      </c>
      <c r="U173" s="39" t="s">
        <v>1380</v>
      </c>
      <c r="V173" t="str">
        <f t="shared" si="16"/>
        <v>www.f6s.com</v>
      </c>
      <c r="W173" s="39" t="s">
        <v>1381</v>
      </c>
      <c r="X173" t="str">
        <f t="shared" si="17"/>
        <v>Neutral</v>
      </c>
    </row>
    <row r="174" spans="1:24" x14ac:dyDescent="0.3">
      <c r="A174" s="6">
        <v>173</v>
      </c>
      <c r="B174" s="10">
        <v>43299</v>
      </c>
      <c r="C174" s="7" t="str">
        <f t="shared" si="12"/>
        <v>2018</v>
      </c>
      <c r="D174" s="7" t="str">
        <f t="shared" si="13"/>
        <v>Jul</v>
      </c>
      <c r="E174" s="10">
        <v>43299</v>
      </c>
      <c r="F174" s="7" t="str">
        <f t="shared" si="14"/>
        <v>Jul</v>
      </c>
      <c r="G174" s="8" t="s">
        <v>191</v>
      </c>
      <c r="H174" s="8" t="s">
        <v>1382</v>
      </c>
      <c r="I174" s="8" t="s">
        <v>204</v>
      </c>
      <c r="J174" s="39" t="s">
        <v>1383</v>
      </c>
      <c r="K174" s="8" t="s">
        <v>20</v>
      </c>
      <c r="L174" s="8" t="s">
        <v>1384</v>
      </c>
      <c r="M174" s="8"/>
      <c r="N174" s="39" t="s">
        <v>1385</v>
      </c>
      <c r="O174" s="8"/>
      <c r="P174" s="8"/>
      <c r="Q174" s="39" t="s">
        <v>1386</v>
      </c>
      <c r="R174" s="8"/>
      <c r="S174" s="8" t="s">
        <v>1309</v>
      </c>
      <c r="T174" s="6" t="str">
        <f t="shared" si="15"/>
        <v>No Progress</v>
      </c>
      <c r="U174" s="39" t="s">
        <v>1387</v>
      </c>
      <c r="V174" t="str">
        <f t="shared" si="16"/>
        <v>www.f6s.com</v>
      </c>
      <c r="W174" s="39" t="s">
        <v>1388</v>
      </c>
      <c r="X174" t="str">
        <f t="shared" si="17"/>
        <v>Neutral</v>
      </c>
    </row>
    <row r="175" spans="1:24" x14ac:dyDescent="0.3">
      <c r="A175" s="6">
        <v>174</v>
      </c>
      <c r="B175" s="10">
        <v>43299</v>
      </c>
      <c r="C175" s="7" t="str">
        <f t="shared" si="12"/>
        <v>2018</v>
      </c>
      <c r="D175" s="7" t="str">
        <f t="shared" si="13"/>
        <v>Jul</v>
      </c>
      <c r="E175" s="10">
        <v>43299</v>
      </c>
      <c r="F175" s="7" t="str">
        <f t="shared" si="14"/>
        <v>Jul</v>
      </c>
      <c r="G175" s="8" t="s">
        <v>748</v>
      </c>
      <c r="H175" s="8" t="s">
        <v>1389</v>
      </c>
      <c r="I175" s="8" t="s">
        <v>1188</v>
      </c>
      <c r="J175" s="39" t="s">
        <v>1390</v>
      </c>
      <c r="K175" s="8" t="s">
        <v>20</v>
      </c>
      <c r="L175" s="8" t="s">
        <v>1391</v>
      </c>
      <c r="M175" s="8"/>
      <c r="N175" s="39" t="s">
        <v>1392</v>
      </c>
      <c r="O175" s="8"/>
      <c r="P175" s="8"/>
      <c r="Q175" s="39" t="s">
        <v>1393</v>
      </c>
      <c r="R175" s="8"/>
      <c r="S175" s="8" t="s">
        <v>1309</v>
      </c>
      <c r="T175" s="6" t="str">
        <f t="shared" si="15"/>
        <v>No Progress</v>
      </c>
      <c r="U175" s="39" t="s">
        <v>1394</v>
      </c>
      <c r="V175" t="str">
        <f t="shared" si="16"/>
        <v>www.f6s.com</v>
      </c>
      <c r="W175" s="39" t="s">
        <v>1395</v>
      </c>
      <c r="X175" t="str">
        <f t="shared" si="17"/>
        <v>Neutral</v>
      </c>
    </row>
    <row r="176" spans="1:24" x14ac:dyDescent="0.3">
      <c r="A176" s="6">
        <v>175</v>
      </c>
      <c r="B176" s="10">
        <v>43299</v>
      </c>
      <c r="C176" s="7" t="str">
        <f t="shared" si="12"/>
        <v>2018</v>
      </c>
      <c r="D176" s="7" t="str">
        <f t="shared" si="13"/>
        <v>Jul</v>
      </c>
      <c r="E176" s="10">
        <v>43299</v>
      </c>
      <c r="F176" s="7" t="str">
        <f t="shared" si="14"/>
        <v>Jul</v>
      </c>
      <c r="G176" s="8" t="s">
        <v>490</v>
      </c>
      <c r="H176" s="8" t="s">
        <v>1396</v>
      </c>
      <c r="I176" s="8" t="s">
        <v>119</v>
      </c>
      <c r="J176" s="8"/>
      <c r="K176" s="8" t="s">
        <v>20</v>
      </c>
      <c r="L176" s="8" t="s">
        <v>1397</v>
      </c>
      <c r="M176" s="8"/>
      <c r="N176" s="8"/>
      <c r="O176" s="8"/>
      <c r="P176" s="8"/>
      <c r="Q176" s="8"/>
      <c r="R176" s="8"/>
      <c r="S176" s="8" t="s">
        <v>1321</v>
      </c>
      <c r="T176" s="6" t="str">
        <f t="shared" si="15"/>
        <v>No Progress</v>
      </c>
      <c r="U176" s="39" t="s">
        <v>1398</v>
      </c>
      <c r="V176" t="str">
        <f t="shared" si="16"/>
        <v>www.f6s.com</v>
      </c>
      <c r="W176" s="39" t="s">
        <v>1399</v>
      </c>
      <c r="X176" t="str">
        <f t="shared" si="17"/>
        <v>Neutral</v>
      </c>
    </row>
    <row r="177" spans="1:24" x14ac:dyDescent="0.3">
      <c r="A177" s="6">
        <v>176</v>
      </c>
      <c r="B177" s="10">
        <v>43299</v>
      </c>
      <c r="C177" s="7" t="str">
        <f t="shared" si="12"/>
        <v>2018</v>
      </c>
      <c r="D177" s="7" t="str">
        <f t="shared" si="13"/>
        <v>Jul</v>
      </c>
      <c r="E177" s="10">
        <v>43299</v>
      </c>
      <c r="F177" s="7" t="str">
        <f t="shared" si="14"/>
        <v>Jul</v>
      </c>
      <c r="G177" s="8" t="s">
        <v>605</v>
      </c>
      <c r="H177" s="8" t="s">
        <v>1400</v>
      </c>
      <c r="I177" s="8" t="s">
        <v>427</v>
      </c>
      <c r="J177" s="39" t="s">
        <v>1401</v>
      </c>
      <c r="K177" s="8" t="s">
        <v>20</v>
      </c>
      <c r="L177" s="8" t="s">
        <v>1402</v>
      </c>
      <c r="M177" s="8"/>
      <c r="N177" s="39" t="s">
        <v>1403</v>
      </c>
      <c r="O177" s="8"/>
      <c r="P177" s="8"/>
      <c r="Q177" s="8"/>
      <c r="R177" s="8"/>
      <c r="S177" s="8" t="s">
        <v>1309</v>
      </c>
      <c r="T177" s="6" t="str">
        <f t="shared" si="15"/>
        <v>No Progress</v>
      </c>
      <c r="U177" s="39" t="s">
        <v>1404</v>
      </c>
      <c r="V177" t="str">
        <f t="shared" si="16"/>
        <v>www.f6s.com</v>
      </c>
      <c r="W177" s="39" t="s">
        <v>1405</v>
      </c>
      <c r="X177" t="str">
        <f t="shared" si="17"/>
        <v>Neutral</v>
      </c>
    </row>
    <row r="178" spans="1:24" x14ac:dyDescent="0.3">
      <c r="A178" s="6">
        <v>177</v>
      </c>
      <c r="B178" s="10">
        <v>43299</v>
      </c>
      <c r="C178" s="7" t="str">
        <f t="shared" si="12"/>
        <v>2018</v>
      </c>
      <c r="D178" s="7" t="str">
        <f t="shared" si="13"/>
        <v>Jul</v>
      </c>
      <c r="E178" s="10">
        <v>43299</v>
      </c>
      <c r="F178" s="7" t="str">
        <f t="shared" si="14"/>
        <v>Jul</v>
      </c>
      <c r="G178" s="8" t="s">
        <v>712</v>
      </c>
      <c r="H178" s="8" t="s">
        <v>1406</v>
      </c>
      <c r="I178" s="8" t="s">
        <v>204</v>
      </c>
      <c r="J178" s="39" t="s">
        <v>1407</v>
      </c>
      <c r="K178" s="8" t="s">
        <v>20</v>
      </c>
      <c r="L178" s="8" t="s">
        <v>1408</v>
      </c>
      <c r="M178" s="8"/>
      <c r="N178" s="39" t="s">
        <v>1409</v>
      </c>
      <c r="O178" s="8"/>
      <c r="P178" s="8"/>
      <c r="Q178" s="8"/>
      <c r="R178" s="8"/>
      <c r="S178" s="8" t="s">
        <v>1309</v>
      </c>
      <c r="T178" s="6" t="str">
        <f t="shared" si="15"/>
        <v>No Progress</v>
      </c>
      <c r="U178" s="39" t="s">
        <v>1410</v>
      </c>
      <c r="V178" t="str">
        <f t="shared" si="16"/>
        <v>www.f6s.com</v>
      </c>
      <c r="W178" s="39" t="s">
        <v>1411</v>
      </c>
      <c r="X178" t="str">
        <f t="shared" si="17"/>
        <v>Neutral</v>
      </c>
    </row>
    <row r="179" spans="1:24" x14ac:dyDescent="0.3">
      <c r="A179" s="6">
        <v>178</v>
      </c>
      <c r="B179" s="10">
        <v>43299</v>
      </c>
      <c r="C179" s="7" t="str">
        <f t="shared" si="12"/>
        <v>2018</v>
      </c>
      <c r="D179" s="7" t="str">
        <f t="shared" si="13"/>
        <v>Jul</v>
      </c>
      <c r="E179" s="10">
        <v>43300</v>
      </c>
      <c r="F179" s="7" t="str">
        <f t="shared" si="14"/>
        <v>Jul</v>
      </c>
      <c r="G179" s="8" t="s">
        <v>1412</v>
      </c>
      <c r="H179" s="44" t="s">
        <v>1413</v>
      </c>
      <c r="I179" s="8" t="s">
        <v>767</v>
      </c>
      <c r="J179" s="39" t="s">
        <v>1414</v>
      </c>
      <c r="K179" s="8" t="s">
        <v>20</v>
      </c>
      <c r="L179" s="8" t="s">
        <v>1415</v>
      </c>
      <c r="M179" s="8" t="s">
        <v>1416</v>
      </c>
      <c r="N179" s="39" t="s">
        <v>1417</v>
      </c>
      <c r="O179" s="8"/>
      <c r="P179" s="8"/>
      <c r="Q179" s="8"/>
      <c r="R179" s="8"/>
      <c r="S179" s="8" t="s">
        <v>1302</v>
      </c>
      <c r="T179" s="6" t="str">
        <f t="shared" si="15"/>
        <v>No Progress</v>
      </c>
      <c r="U179" s="39" t="s">
        <v>1418</v>
      </c>
      <c r="V179" t="str">
        <f t="shared" si="16"/>
        <v>www.f6s.com</v>
      </c>
      <c r="W179" s="39" t="s">
        <v>1419</v>
      </c>
      <c r="X179" t="str">
        <f t="shared" si="17"/>
        <v>Negative</v>
      </c>
    </row>
    <row r="180" spans="1:24" x14ac:dyDescent="0.3">
      <c r="A180" s="6">
        <v>179</v>
      </c>
      <c r="B180" s="10">
        <v>43300</v>
      </c>
      <c r="C180" s="7" t="str">
        <f t="shared" si="12"/>
        <v>2018</v>
      </c>
      <c r="D180" s="7" t="str">
        <f t="shared" si="13"/>
        <v>Jul</v>
      </c>
      <c r="E180" s="10">
        <v>43300</v>
      </c>
      <c r="F180" s="7" t="str">
        <f t="shared" si="14"/>
        <v>Jul</v>
      </c>
      <c r="G180" s="8" t="s">
        <v>17</v>
      </c>
      <c r="H180" s="8" t="s">
        <v>1420</v>
      </c>
      <c r="I180" s="8" t="s">
        <v>1421</v>
      </c>
      <c r="J180" s="39" t="s">
        <v>1422</v>
      </c>
      <c r="K180" s="8" t="s">
        <v>20</v>
      </c>
      <c r="L180" s="8" t="s">
        <v>1423</v>
      </c>
      <c r="M180" s="8"/>
      <c r="N180" s="39" t="s">
        <v>1424</v>
      </c>
      <c r="O180" s="8"/>
      <c r="P180" s="8"/>
      <c r="Q180" s="39" t="s">
        <v>1425</v>
      </c>
      <c r="R180" s="8"/>
      <c r="S180" s="8" t="s">
        <v>1426</v>
      </c>
      <c r="T180" s="6" t="str">
        <f t="shared" si="15"/>
        <v>No Progress</v>
      </c>
      <c r="U180" s="39" t="s">
        <v>1427</v>
      </c>
      <c r="V180" t="str">
        <f t="shared" si="16"/>
        <v>startupjobs.asia</v>
      </c>
      <c r="W180" s="39" t="s">
        <v>1428</v>
      </c>
      <c r="X180" t="str">
        <f t="shared" si="17"/>
        <v>Neutral</v>
      </c>
    </row>
    <row r="181" spans="1:24" x14ac:dyDescent="0.3">
      <c r="A181" s="6">
        <v>180</v>
      </c>
      <c r="B181" s="10">
        <v>43300</v>
      </c>
      <c r="C181" s="7" t="str">
        <f t="shared" si="12"/>
        <v>2018</v>
      </c>
      <c r="D181" s="7" t="str">
        <f t="shared" si="13"/>
        <v>Jul</v>
      </c>
      <c r="E181" s="10">
        <v>43300</v>
      </c>
      <c r="F181" s="7" t="str">
        <f t="shared" si="14"/>
        <v>Jul</v>
      </c>
      <c r="G181" s="8" t="s">
        <v>93</v>
      </c>
      <c r="H181" s="8" t="s">
        <v>1429</v>
      </c>
      <c r="I181" s="8" t="s">
        <v>1319</v>
      </c>
      <c r="J181" s="39" t="s">
        <v>1430</v>
      </c>
      <c r="K181" s="8" t="s">
        <v>302</v>
      </c>
      <c r="L181" s="8" t="s">
        <v>1431</v>
      </c>
      <c r="M181" s="8"/>
      <c r="N181" s="39" t="s">
        <v>1432</v>
      </c>
      <c r="O181" s="8"/>
      <c r="P181" s="8"/>
      <c r="Q181" s="39" t="s">
        <v>1433</v>
      </c>
      <c r="R181" s="8"/>
      <c r="S181" s="8" t="s">
        <v>1426</v>
      </c>
      <c r="T181" s="6" t="str">
        <f t="shared" si="15"/>
        <v>No Progress</v>
      </c>
      <c r="U181" s="39" t="s">
        <v>1434</v>
      </c>
      <c r="V181" t="str">
        <f t="shared" si="16"/>
        <v>www.techinasia.com</v>
      </c>
      <c r="W181" s="8"/>
      <c r="X181" t="str">
        <f t="shared" si="17"/>
        <v>Neutral</v>
      </c>
    </row>
    <row r="182" spans="1:24" x14ac:dyDescent="0.3">
      <c r="A182" s="6">
        <v>181</v>
      </c>
      <c r="B182" s="10">
        <v>43300</v>
      </c>
      <c r="C182" s="7" t="str">
        <f t="shared" si="12"/>
        <v>2018</v>
      </c>
      <c r="D182" s="7" t="str">
        <f t="shared" si="13"/>
        <v>Jul</v>
      </c>
      <c r="E182" s="10">
        <v>43300</v>
      </c>
      <c r="F182" s="7" t="str">
        <f t="shared" si="14"/>
        <v>Jul</v>
      </c>
      <c r="G182" s="8" t="s">
        <v>17</v>
      </c>
      <c r="H182" s="8" t="s">
        <v>1435</v>
      </c>
      <c r="I182" s="8" t="s">
        <v>34</v>
      </c>
      <c r="J182" s="39" t="s">
        <v>1436</v>
      </c>
      <c r="K182" s="8" t="s">
        <v>20</v>
      </c>
      <c r="L182" s="8" t="s">
        <v>1437</v>
      </c>
      <c r="M182" s="8" t="s">
        <v>1438</v>
      </c>
      <c r="N182" s="39" t="s">
        <v>1439</v>
      </c>
      <c r="O182" s="8"/>
      <c r="P182" s="8"/>
      <c r="Q182" s="39" t="s">
        <v>1440</v>
      </c>
      <c r="R182" s="8"/>
      <c r="S182" s="8" t="s">
        <v>1426</v>
      </c>
      <c r="T182" s="6" t="str">
        <f t="shared" si="15"/>
        <v>No Progress</v>
      </c>
      <c r="U182" s="39" t="s">
        <v>1441</v>
      </c>
      <c r="V182" t="str">
        <f t="shared" si="16"/>
        <v>www.techinasia.com</v>
      </c>
      <c r="W182" s="39" t="s">
        <v>1442</v>
      </c>
      <c r="X182" t="str">
        <f t="shared" si="17"/>
        <v>Neutral</v>
      </c>
    </row>
    <row r="183" spans="1:24" x14ac:dyDescent="0.3">
      <c r="A183" s="6">
        <v>182</v>
      </c>
      <c r="B183" s="10">
        <v>43300</v>
      </c>
      <c r="C183" s="7" t="str">
        <f t="shared" si="12"/>
        <v>2018</v>
      </c>
      <c r="D183" s="7" t="str">
        <f t="shared" si="13"/>
        <v>Jul</v>
      </c>
      <c r="E183" s="10">
        <v>43300</v>
      </c>
      <c r="F183" s="7" t="str">
        <f t="shared" si="14"/>
        <v>Jul</v>
      </c>
      <c r="G183" s="8" t="s">
        <v>32</v>
      </c>
      <c r="H183" s="8" t="s">
        <v>1443</v>
      </c>
      <c r="I183" s="8" t="s">
        <v>175</v>
      </c>
      <c r="J183" s="39" t="s">
        <v>1444</v>
      </c>
      <c r="K183" s="8" t="s">
        <v>20</v>
      </c>
      <c r="L183" s="8" t="s">
        <v>1445</v>
      </c>
      <c r="M183" s="8"/>
      <c r="N183" s="39" t="s">
        <v>1446</v>
      </c>
      <c r="O183" s="8"/>
      <c r="P183" s="8"/>
      <c r="Q183" s="8"/>
      <c r="R183" s="8"/>
      <c r="S183" s="8" t="s">
        <v>1426</v>
      </c>
      <c r="T183" s="6" t="str">
        <f t="shared" si="15"/>
        <v>No Progress</v>
      </c>
      <c r="U183" s="39" t="s">
        <v>1447</v>
      </c>
      <c r="V183" t="str">
        <f t="shared" si="16"/>
        <v>www.techinasia.com</v>
      </c>
      <c r="W183" s="39" t="s">
        <v>1448</v>
      </c>
      <c r="X183" t="str">
        <f t="shared" si="17"/>
        <v>Neutral</v>
      </c>
    </row>
    <row r="184" spans="1:24" x14ac:dyDescent="0.3">
      <c r="A184" s="6">
        <v>183</v>
      </c>
      <c r="B184" s="10">
        <v>43300</v>
      </c>
      <c r="C184" s="7" t="str">
        <f t="shared" si="12"/>
        <v>2018</v>
      </c>
      <c r="D184" s="7" t="str">
        <f t="shared" si="13"/>
        <v>Jul</v>
      </c>
      <c r="E184" s="10">
        <v>43300</v>
      </c>
      <c r="F184" s="7" t="str">
        <f t="shared" si="14"/>
        <v>Jul</v>
      </c>
      <c r="G184" s="8" t="s">
        <v>17</v>
      </c>
      <c r="H184" s="8" t="s">
        <v>1449</v>
      </c>
      <c r="I184" s="8" t="s">
        <v>119</v>
      </c>
      <c r="J184" s="39" t="s">
        <v>1450</v>
      </c>
      <c r="K184" s="8" t="s">
        <v>20</v>
      </c>
      <c r="L184" s="8" t="s">
        <v>1451</v>
      </c>
      <c r="M184" s="8" t="s">
        <v>1452</v>
      </c>
      <c r="N184" s="39" t="s">
        <v>1453</v>
      </c>
      <c r="O184" s="8"/>
      <c r="P184" s="8" t="s">
        <v>1454</v>
      </c>
      <c r="Q184" s="39" t="s">
        <v>1455</v>
      </c>
      <c r="R184" s="8"/>
      <c r="S184" s="8" t="s">
        <v>1426</v>
      </c>
      <c r="T184" s="6" t="str">
        <f t="shared" si="15"/>
        <v>No Progress</v>
      </c>
      <c r="U184" s="39" t="s">
        <v>1456</v>
      </c>
      <c r="V184" t="str">
        <f t="shared" si="16"/>
        <v>www.techinasia.com</v>
      </c>
      <c r="W184" s="39" t="s">
        <v>1457</v>
      </c>
      <c r="X184" t="str">
        <f t="shared" si="17"/>
        <v>Neutral</v>
      </c>
    </row>
    <row r="185" spans="1:24" x14ac:dyDescent="0.3">
      <c r="A185" s="6">
        <v>184</v>
      </c>
      <c r="B185" s="10">
        <v>43300</v>
      </c>
      <c r="C185" s="7" t="str">
        <f t="shared" si="12"/>
        <v>2018</v>
      </c>
      <c r="D185" s="7" t="str">
        <f t="shared" si="13"/>
        <v>Jul</v>
      </c>
      <c r="E185" s="10">
        <v>43300</v>
      </c>
      <c r="F185" s="7" t="str">
        <f t="shared" si="14"/>
        <v>Jul</v>
      </c>
      <c r="G185" s="8" t="s">
        <v>756</v>
      </c>
      <c r="H185" s="8" t="s">
        <v>1458</v>
      </c>
      <c r="I185" s="8" t="s">
        <v>1459</v>
      </c>
      <c r="J185" s="39" t="s">
        <v>1460</v>
      </c>
      <c r="K185" s="8" t="s">
        <v>20</v>
      </c>
      <c r="L185" s="8" t="s">
        <v>1461</v>
      </c>
      <c r="M185" s="8"/>
      <c r="N185" s="39" t="s">
        <v>1462</v>
      </c>
      <c r="O185" s="8"/>
      <c r="P185" s="8"/>
      <c r="Q185" s="8"/>
      <c r="R185" s="8"/>
      <c r="S185" s="8" t="s">
        <v>1426</v>
      </c>
      <c r="T185" s="6" t="str">
        <f t="shared" si="15"/>
        <v>No Progress</v>
      </c>
      <c r="U185" s="39" t="s">
        <v>1463</v>
      </c>
      <c r="V185" t="str">
        <f t="shared" si="16"/>
        <v>www.f6s.com</v>
      </c>
      <c r="W185" s="39" t="s">
        <v>1464</v>
      </c>
      <c r="X185" t="str">
        <f t="shared" si="17"/>
        <v>Neutral</v>
      </c>
    </row>
    <row r="186" spans="1:24" x14ac:dyDescent="0.3">
      <c r="A186" s="6">
        <v>185</v>
      </c>
      <c r="B186" s="10">
        <v>43300</v>
      </c>
      <c r="C186" s="7" t="str">
        <f t="shared" si="12"/>
        <v>2018</v>
      </c>
      <c r="D186" s="7" t="str">
        <f t="shared" si="13"/>
        <v>Jul</v>
      </c>
      <c r="E186" s="10">
        <v>43300</v>
      </c>
      <c r="F186" s="7" t="str">
        <f t="shared" si="14"/>
        <v>Jul</v>
      </c>
      <c r="G186" s="8" t="s">
        <v>490</v>
      </c>
      <c r="H186" s="8" t="s">
        <v>1465</v>
      </c>
      <c r="I186" s="8" t="s">
        <v>330</v>
      </c>
      <c r="J186" s="39" t="s">
        <v>1466</v>
      </c>
      <c r="K186" s="8" t="s">
        <v>20</v>
      </c>
      <c r="L186" s="8" t="s">
        <v>1467</v>
      </c>
      <c r="M186" s="8"/>
      <c r="N186" s="39" t="s">
        <v>1468</v>
      </c>
      <c r="O186" s="8"/>
      <c r="P186" s="8"/>
      <c r="Q186" s="8"/>
      <c r="R186" s="8"/>
      <c r="S186" s="8" t="s">
        <v>1426</v>
      </c>
      <c r="T186" s="6" t="str">
        <f t="shared" si="15"/>
        <v>No Progress</v>
      </c>
      <c r="U186" s="39" t="s">
        <v>1469</v>
      </c>
      <c r="V186" t="str">
        <f t="shared" si="16"/>
        <v>www.f6s.com</v>
      </c>
      <c r="W186" s="39" t="s">
        <v>1470</v>
      </c>
      <c r="X186" t="str">
        <f t="shared" si="17"/>
        <v>Neutral</v>
      </c>
    </row>
    <row r="187" spans="1:24" x14ac:dyDescent="0.3">
      <c r="A187" s="6">
        <v>186</v>
      </c>
      <c r="B187" s="10">
        <v>43300</v>
      </c>
      <c r="C187" s="7" t="str">
        <f t="shared" si="12"/>
        <v>2018</v>
      </c>
      <c r="D187" s="7" t="str">
        <f t="shared" si="13"/>
        <v>Jul</v>
      </c>
      <c r="E187" s="10">
        <v>43300</v>
      </c>
      <c r="F187" s="7" t="str">
        <f t="shared" si="14"/>
        <v>Jul</v>
      </c>
      <c r="G187" s="8" t="s">
        <v>490</v>
      </c>
      <c r="H187" s="8" t="s">
        <v>1110</v>
      </c>
      <c r="I187" s="8" t="s">
        <v>1111</v>
      </c>
      <c r="J187" s="39" t="s">
        <v>1112</v>
      </c>
      <c r="K187" s="8" t="s">
        <v>20</v>
      </c>
      <c r="L187" s="8" t="s">
        <v>1471</v>
      </c>
      <c r="M187" s="8"/>
      <c r="N187" s="39" t="s">
        <v>1472</v>
      </c>
      <c r="O187" s="8"/>
      <c r="P187" s="8"/>
      <c r="Q187" s="8"/>
      <c r="R187" s="8"/>
      <c r="S187" s="8" t="s">
        <v>1426</v>
      </c>
      <c r="T187" s="6" t="str">
        <f t="shared" si="15"/>
        <v>No Progress</v>
      </c>
      <c r="U187" s="39" t="s">
        <v>1473</v>
      </c>
      <c r="V187" t="str">
        <f t="shared" si="16"/>
        <v>www.f6s.com</v>
      </c>
      <c r="W187" s="39" t="s">
        <v>1117</v>
      </c>
      <c r="X187" t="str">
        <f t="shared" si="17"/>
        <v>Neutral</v>
      </c>
    </row>
    <row r="188" spans="1:24" x14ac:dyDescent="0.3">
      <c r="A188" s="6">
        <v>187</v>
      </c>
      <c r="B188" s="10">
        <v>43300</v>
      </c>
      <c r="C188" s="7" t="str">
        <f t="shared" si="12"/>
        <v>2018</v>
      </c>
      <c r="D188" s="7" t="str">
        <f t="shared" si="13"/>
        <v>Jul</v>
      </c>
      <c r="E188" s="10">
        <v>43300</v>
      </c>
      <c r="F188" s="7" t="str">
        <f t="shared" si="14"/>
        <v>Jul</v>
      </c>
      <c r="G188" s="8" t="s">
        <v>1474</v>
      </c>
      <c r="H188" s="8" t="s">
        <v>1475</v>
      </c>
      <c r="I188" s="8" t="s">
        <v>677</v>
      </c>
      <c r="J188" s="39" t="s">
        <v>1476</v>
      </c>
      <c r="K188" s="8" t="s">
        <v>20</v>
      </c>
      <c r="L188" s="8" t="s">
        <v>1477</v>
      </c>
      <c r="M188" s="8" t="s">
        <v>1478</v>
      </c>
      <c r="N188" s="8"/>
      <c r="O188" s="8"/>
      <c r="P188" s="8"/>
      <c r="Q188" s="39" t="s">
        <v>1479</v>
      </c>
      <c r="R188" s="8"/>
      <c r="S188" s="8" t="s">
        <v>1426</v>
      </c>
      <c r="T188" s="6" t="str">
        <f t="shared" si="15"/>
        <v>No Progress</v>
      </c>
      <c r="U188" s="39" t="s">
        <v>1480</v>
      </c>
      <c r="V188" t="str">
        <f t="shared" si="16"/>
        <v>www.f6s.com</v>
      </c>
      <c r="W188" s="39" t="s">
        <v>1481</v>
      </c>
      <c r="X188" t="str">
        <f t="shared" si="17"/>
        <v>Neutral</v>
      </c>
    </row>
    <row r="189" spans="1:24" x14ac:dyDescent="0.3">
      <c r="A189" s="6">
        <v>188</v>
      </c>
      <c r="B189" s="61">
        <v>43300</v>
      </c>
      <c r="C189" s="7" t="str">
        <f t="shared" si="12"/>
        <v>2018</v>
      </c>
      <c r="D189" s="7" t="str">
        <f t="shared" si="13"/>
        <v>Jul</v>
      </c>
      <c r="E189" s="61">
        <v>43300</v>
      </c>
      <c r="F189" s="7" t="str">
        <f t="shared" si="14"/>
        <v>Jul</v>
      </c>
      <c r="G189" s="60" t="s">
        <v>643</v>
      </c>
      <c r="H189" s="60" t="s">
        <v>1482</v>
      </c>
      <c r="I189" s="60" t="s">
        <v>119</v>
      </c>
      <c r="J189" s="66" t="s">
        <v>1483</v>
      </c>
      <c r="K189" s="60" t="s">
        <v>20</v>
      </c>
      <c r="L189" s="60" t="s">
        <v>1484</v>
      </c>
      <c r="M189" s="60"/>
      <c r="N189" s="66" t="s">
        <v>1485</v>
      </c>
      <c r="O189" s="60"/>
      <c r="P189" s="60"/>
      <c r="Q189" s="66" t="s">
        <v>1486</v>
      </c>
      <c r="R189" s="60"/>
      <c r="S189" s="60" t="s">
        <v>1487</v>
      </c>
      <c r="T189" s="6" t="str">
        <f t="shared" si="15"/>
        <v>Hot</v>
      </c>
      <c r="U189" s="66" t="s">
        <v>1488</v>
      </c>
      <c r="V189" t="str">
        <f t="shared" si="16"/>
        <v>www.f6s.com</v>
      </c>
      <c r="W189" s="60"/>
      <c r="X189" t="str">
        <f t="shared" si="17"/>
        <v>Neutral</v>
      </c>
    </row>
    <row r="190" spans="1:24" x14ac:dyDescent="0.3">
      <c r="A190" s="6">
        <v>189</v>
      </c>
      <c r="B190" s="10">
        <v>43300</v>
      </c>
      <c r="C190" s="7" t="str">
        <f t="shared" si="12"/>
        <v>2018</v>
      </c>
      <c r="D190" s="7" t="str">
        <f t="shared" si="13"/>
        <v>Jul</v>
      </c>
      <c r="E190" s="10">
        <v>43300</v>
      </c>
      <c r="F190" s="7" t="str">
        <f t="shared" si="14"/>
        <v>Jul</v>
      </c>
      <c r="G190" s="8" t="s">
        <v>553</v>
      </c>
      <c r="H190" s="8" t="s">
        <v>1489</v>
      </c>
      <c r="I190" s="8" t="s">
        <v>1490</v>
      </c>
      <c r="J190" s="39" t="s">
        <v>1491</v>
      </c>
      <c r="K190" s="8" t="s">
        <v>20</v>
      </c>
      <c r="L190" s="8" t="s">
        <v>1492</v>
      </c>
      <c r="M190" s="8"/>
      <c r="N190" s="39" t="s">
        <v>1493</v>
      </c>
      <c r="O190" s="8"/>
      <c r="P190" s="8"/>
      <c r="Q190" s="8"/>
      <c r="R190" s="8"/>
      <c r="S190" s="8" t="s">
        <v>1426</v>
      </c>
      <c r="T190" s="6" t="str">
        <f t="shared" si="15"/>
        <v>No Progress</v>
      </c>
      <c r="U190" s="39" t="s">
        <v>1494</v>
      </c>
      <c r="V190" t="str">
        <f t="shared" si="16"/>
        <v>www.f6s.com</v>
      </c>
      <c r="W190" s="39" t="s">
        <v>1495</v>
      </c>
      <c r="X190" t="str">
        <f t="shared" si="17"/>
        <v>Neutral</v>
      </c>
    </row>
    <row r="191" spans="1:24" x14ac:dyDescent="0.3">
      <c r="A191" s="6">
        <v>190</v>
      </c>
      <c r="B191" s="10">
        <v>43300</v>
      </c>
      <c r="C191" s="7" t="str">
        <f t="shared" si="12"/>
        <v>2018</v>
      </c>
      <c r="D191" s="7" t="str">
        <f t="shared" si="13"/>
        <v>Jul</v>
      </c>
      <c r="E191" s="10">
        <v>43300</v>
      </c>
      <c r="F191" s="7" t="str">
        <f t="shared" si="14"/>
        <v>Jul</v>
      </c>
      <c r="G191" s="8" t="s">
        <v>1496</v>
      </c>
      <c r="H191" s="8" t="s">
        <v>1497</v>
      </c>
      <c r="I191" s="8" t="s">
        <v>1188</v>
      </c>
      <c r="J191" s="39" t="s">
        <v>1498</v>
      </c>
      <c r="K191" s="8" t="s">
        <v>20</v>
      </c>
      <c r="L191" s="8" t="s">
        <v>1499</v>
      </c>
      <c r="M191" s="8" t="s">
        <v>1500</v>
      </c>
      <c r="N191" s="8"/>
      <c r="O191" s="8"/>
      <c r="P191" s="8"/>
      <c r="Q191" s="39" t="s">
        <v>1501</v>
      </c>
      <c r="R191" s="8"/>
      <c r="S191" s="8" t="s">
        <v>1426</v>
      </c>
      <c r="T191" s="6" t="str">
        <f t="shared" si="15"/>
        <v>No Progress</v>
      </c>
      <c r="U191" s="39" t="s">
        <v>1502</v>
      </c>
      <c r="V191" t="str">
        <f t="shared" si="16"/>
        <v>www.f6s.com</v>
      </c>
      <c r="W191" s="39" t="s">
        <v>1503</v>
      </c>
      <c r="X191" t="str">
        <f t="shared" si="17"/>
        <v>Neutral</v>
      </c>
    </row>
    <row r="192" spans="1:24" x14ac:dyDescent="0.3">
      <c r="A192" s="6">
        <v>191</v>
      </c>
      <c r="B192" s="69">
        <v>43318</v>
      </c>
      <c r="C192" s="7" t="str">
        <f t="shared" si="12"/>
        <v>2018</v>
      </c>
      <c r="D192" s="7" t="str">
        <f t="shared" si="13"/>
        <v>Aug</v>
      </c>
      <c r="E192" s="69">
        <v>43319</v>
      </c>
      <c r="F192" s="7" t="str">
        <f t="shared" si="14"/>
        <v>Aug</v>
      </c>
      <c r="G192" s="65" t="s">
        <v>32</v>
      </c>
      <c r="H192" s="65" t="s">
        <v>1504</v>
      </c>
      <c r="I192" s="65" t="s">
        <v>19</v>
      </c>
      <c r="J192" s="70" t="s">
        <v>1505</v>
      </c>
      <c r="K192" s="65" t="s">
        <v>20</v>
      </c>
      <c r="L192" s="65" t="s">
        <v>1506</v>
      </c>
      <c r="M192" s="65" t="s">
        <v>1507</v>
      </c>
      <c r="N192" s="70" t="s">
        <v>1508</v>
      </c>
      <c r="O192" s="65"/>
      <c r="P192" s="65"/>
      <c r="Q192" s="70" t="s">
        <v>1509</v>
      </c>
      <c r="R192" s="65"/>
      <c r="S192" s="65" t="s">
        <v>1510</v>
      </c>
      <c r="T192" s="6" t="str">
        <f t="shared" si="15"/>
        <v>Hot</v>
      </c>
      <c r="U192" s="70" t="s">
        <v>1511</v>
      </c>
      <c r="V192" t="str">
        <f t="shared" si="16"/>
        <v>startupjobs.asia</v>
      </c>
      <c r="W192" s="70" t="s">
        <v>1512</v>
      </c>
      <c r="X192" t="str">
        <f t="shared" si="17"/>
        <v>Positive</v>
      </c>
    </row>
    <row r="193" spans="1:24" x14ac:dyDescent="0.3">
      <c r="A193" s="6">
        <v>192</v>
      </c>
      <c r="B193" s="46">
        <v>43318</v>
      </c>
      <c r="C193" s="7" t="str">
        <f t="shared" si="12"/>
        <v>2018</v>
      </c>
      <c r="D193" s="7" t="str">
        <f t="shared" si="13"/>
        <v>Aug</v>
      </c>
      <c r="E193" s="46">
        <v>43322</v>
      </c>
      <c r="F193" s="7" t="str">
        <f t="shared" si="14"/>
        <v>Aug</v>
      </c>
      <c r="G193" t="s">
        <v>32</v>
      </c>
      <c r="H193" s="47" t="s">
        <v>1513</v>
      </c>
      <c r="I193" t="s">
        <v>1188</v>
      </c>
      <c r="J193" s="48" t="s">
        <v>1514</v>
      </c>
      <c r="K193" t="s">
        <v>20</v>
      </c>
      <c r="L193" t="s">
        <v>1515</v>
      </c>
      <c r="M193" t="s">
        <v>1516</v>
      </c>
      <c r="N193" s="48" t="s">
        <v>1517</v>
      </c>
      <c r="Q193" s="48" t="s">
        <v>1518</v>
      </c>
      <c r="S193" t="s">
        <v>1519</v>
      </c>
      <c r="T193" s="6" t="str">
        <f t="shared" si="15"/>
        <v>No Progress</v>
      </c>
      <c r="U193" s="48" t="s">
        <v>1520</v>
      </c>
      <c r="V193" t="str">
        <f t="shared" si="16"/>
        <v>startupjobs.asia</v>
      </c>
      <c r="W193" s="48" t="s">
        <v>1521</v>
      </c>
      <c r="X193" t="str">
        <f t="shared" si="17"/>
        <v>Negative</v>
      </c>
    </row>
    <row r="194" spans="1:24" x14ac:dyDescent="0.3">
      <c r="A194" s="6">
        <v>193</v>
      </c>
      <c r="B194" s="46">
        <v>43318</v>
      </c>
      <c r="C194" s="7" t="str">
        <f t="shared" si="12"/>
        <v>2018</v>
      </c>
      <c r="D194" s="7" t="str">
        <f t="shared" si="13"/>
        <v>Aug</v>
      </c>
      <c r="E194" s="46">
        <v>43320</v>
      </c>
      <c r="F194" s="7" t="str">
        <f t="shared" si="14"/>
        <v>Aug</v>
      </c>
      <c r="G194" t="s">
        <v>32</v>
      </c>
      <c r="H194" t="s">
        <v>1522</v>
      </c>
      <c r="I194" t="s">
        <v>1111</v>
      </c>
      <c r="J194" s="48" t="s">
        <v>1523</v>
      </c>
      <c r="K194" t="s">
        <v>20</v>
      </c>
      <c r="L194" t="s">
        <v>1524</v>
      </c>
      <c r="N194" s="48" t="s">
        <v>1525</v>
      </c>
      <c r="Q194" s="48" t="s">
        <v>1526</v>
      </c>
      <c r="S194" t="s">
        <v>1527</v>
      </c>
      <c r="T194" s="6" t="str">
        <f t="shared" si="15"/>
        <v>No Progress</v>
      </c>
      <c r="U194" s="48" t="s">
        <v>1528</v>
      </c>
      <c r="V194" t="str">
        <f t="shared" si="16"/>
        <v>startupjobs.asia</v>
      </c>
      <c r="W194" s="48" t="s">
        <v>1529</v>
      </c>
      <c r="X194" t="str">
        <f t="shared" si="17"/>
        <v>Neutral</v>
      </c>
    </row>
    <row r="195" spans="1:24" x14ac:dyDescent="0.3">
      <c r="A195" s="6">
        <v>194</v>
      </c>
      <c r="B195" s="46">
        <v>43318</v>
      </c>
      <c r="C195" s="7" t="str">
        <f t="shared" ref="C195:C258" si="18">TEXT(B195, "yyyy")</f>
        <v>2018</v>
      </c>
      <c r="D195" s="7" t="str">
        <f t="shared" ref="D195:D258" si="19">TEXT(B195, "mmm")</f>
        <v>Aug</v>
      </c>
      <c r="E195" s="46">
        <v>43320</v>
      </c>
      <c r="F195" s="7" t="str">
        <f t="shared" ref="F195:F258" si="20">TEXT(E195, "mmm")</f>
        <v>Aug</v>
      </c>
      <c r="G195" t="s">
        <v>1530</v>
      </c>
      <c r="H195" t="s">
        <v>1531</v>
      </c>
      <c r="I195" t="s">
        <v>330</v>
      </c>
      <c r="J195" s="48" t="s">
        <v>1532</v>
      </c>
      <c r="K195" t="s">
        <v>302</v>
      </c>
      <c r="L195" t="s">
        <v>1533</v>
      </c>
      <c r="N195" s="48" t="s">
        <v>1534</v>
      </c>
      <c r="Q195" s="48" t="s">
        <v>1535</v>
      </c>
      <c r="S195" t="s">
        <v>1527</v>
      </c>
      <c r="T195" s="6" t="str">
        <f t="shared" ref="T195:T258" si="21">GetCellColorStatus(B195)</f>
        <v>No Progress</v>
      </c>
      <c r="U195" s="48" t="s">
        <v>1536</v>
      </c>
      <c r="V195" t="str">
        <f t="shared" ref="V195:V258" si="22">IF(U195 = "", "No Source", MID(U195, SEARCH("//", U195) + 2, SEARCH("/", U195, SEARCH("//", U195) + 2) - SEARCH("//", U195) - 2))</f>
        <v>www.techinasia.com</v>
      </c>
      <c r="W195" s="48" t="s">
        <v>1537</v>
      </c>
      <c r="X195" t="str">
        <f t="shared" ref="X195:X258" si="23">IF(OR(ISNUMBER(SEARCH("no answer", LOWER(S195))), ISNUMBER(SEARCH("not interested", LOWER(S195)))), "Negative",
IF(OR(ISNUMBER(SEARCH("email sent", LOWER(S195))), ISNUMBER(SEARCH("follow up", LOWER(S195))), ISNUMBER(SEARCH("spoke", LOWER(S195)))), "Positive",
"Neutral"))</f>
        <v>Neutral</v>
      </c>
    </row>
    <row r="196" spans="1:24" x14ac:dyDescent="0.3">
      <c r="A196" s="6">
        <v>195</v>
      </c>
      <c r="B196" s="69">
        <v>43318</v>
      </c>
      <c r="C196" s="7" t="str">
        <f t="shared" si="18"/>
        <v>2018</v>
      </c>
      <c r="D196" s="7" t="str">
        <f t="shared" si="19"/>
        <v>Aug</v>
      </c>
      <c r="E196" s="69">
        <v>43318</v>
      </c>
      <c r="F196" s="7" t="str">
        <f t="shared" si="20"/>
        <v>Aug</v>
      </c>
      <c r="G196" s="65" t="s">
        <v>32</v>
      </c>
      <c r="H196" s="65" t="s">
        <v>1538</v>
      </c>
      <c r="I196" s="65" t="s">
        <v>1539</v>
      </c>
      <c r="J196" s="70" t="s">
        <v>1540</v>
      </c>
      <c r="K196" s="65" t="s">
        <v>20</v>
      </c>
      <c r="L196" s="65" t="s">
        <v>1541</v>
      </c>
      <c r="M196" s="65" t="s">
        <v>1542</v>
      </c>
      <c r="N196" s="70" t="s">
        <v>1543</v>
      </c>
      <c r="O196" s="65"/>
      <c r="P196" s="65"/>
      <c r="Q196" s="70" t="s">
        <v>1544</v>
      </c>
      <c r="R196" s="65"/>
      <c r="S196" s="65" t="s">
        <v>1545</v>
      </c>
      <c r="T196" s="6" t="str">
        <f t="shared" si="21"/>
        <v>Hot</v>
      </c>
      <c r="U196" s="70" t="s">
        <v>1546</v>
      </c>
      <c r="V196" t="str">
        <f t="shared" si="22"/>
        <v>www.techinasia.com</v>
      </c>
      <c r="W196" s="70" t="s">
        <v>1547</v>
      </c>
      <c r="X196" t="str">
        <f t="shared" si="23"/>
        <v>Neutral</v>
      </c>
    </row>
    <row r="197" spans="1:24" x14ac:dyDescent="0.3">
      <c r="A197" s="6">
        <v>196</v>
      </c>
      <c r="B197" s="46">
        <v>43318</v>
      </c>
      <c r="C197" s="7" t="str">
        <f t="shared" si="18"/>
        <v>2018</v>
      </c>
      <c r="D197" s="7" t="str">
        <f t="shared" si="19"/>
        <v>Aug</v>
      </c>
      <c r="E197" s="46">
        <v>43320</v>
      </c>
      <c r="F197" s="7" t="str">
        <f t="shared" si="20"/>
        <v>Aug</v>
      </c>
      <c r="G197" t="s">
        <v>32</v>
      </c>
      <c r="H197" t="s">
        <v>1548</v>
      </c>
      <c r="I197" t="s">
        <v>330</v>
      </c>
      <c r="J197" s="48" t="s">
        <v>1549</v>
      </c>
      <c r="K197" t="s">
        <v>20</v>
      </c>
      <c r="L197" t="s">
        <v>1550</v>
      </c>
      <c r="N197" s="48" t="s">
        <v>1551</v>
      </c>
      <c r="Q197" s="48" t="s">
        <v>1552</v>
      </c>
      <c r="S197" t="s">
        <v>1527</v>
      </c>
      <c r="T197" s="6" t="str">
        <f t="shared" si="21"/>
        <v>No Progress</v>
      </c>
      <c r="U197" s="48" t="s">
        <v>1546</v>
      </c>
      <c r="V197" t="str">
        <f t="shared" si="22"/>
        <v>www.techinasia.com</v>
      </c>
      <c r="W197" s="48" t="s">
        <v>1553</v>
      </c>
      <c r="X197" t="str">
        <f t="shared" si="23"/>
        <v>Neutral</v>
      </c>
    </row>
    <row r="198" spans="1:24" x14ac:dyDescent="0.3">
      <c r="A198" s="6">
        <v>197</v>
      </c>
      <c r="B198" s="46">
        <v>43318</v>
      </c>
      <c r="C198" s="7" t="str">
        <f t="shared" si="18"/>
        <v>2018</v>
      </c>
      <c r="D198" s="7" t="str">
        <f t="shared" si="19"/>
        <v>Aug</v>
      </c>
      <c r="E198" s="46">
        <v>43320</v>
      </c>
      <c r="F198" s="7" t="str">
        <f t="shared" si="20"/>
        <v>Aug</v>
      </c>
      <c r="G198" t="s">
        <v>32</v>
      </c>
      <c r="H198" t="s">
        <v>1554</v>
      </c>
      <c r="I198" t="s">
        <v>1188</v>
      </c>
      <c r="J198" s="48" t="s">
        <v>1555</v>
      </c>
      <c r="K198" t="s">
        <v>20</v>
      </c>
      <c r="L198" t="s">
        <v>1556</v>
      </c>
      <c r="N198" s="48" t="s">
        <v>1557</v>
      </c>
      <c r="Q198" s="48" t="s">
        <v>1558</v>
      </c>
      <c r="S198" t="s">
        <v>1527</v>
      </c>
      <c r="T198" s="6" t="str">
        <f t="shared" si="21"/>
        <v>No Progress</v>
      </c>
      <c r="U198" s="48" t="s">
        <v>1559</v>
      </c>
      <c r="V198" t="str">
        <f t="shared" si="22"/>
        <v>www.techinasia.com</v>
      </c>
      <c r="W198" s="48" t="s">
        <v>1560</v>
      </c>
      <c r="X198" t="str">
        <f t="shared" si="23"/>
        <v>Neutral</v>
      </c>
    </row>
    <row r="199" spans="1:24" x14ac:dyDescent="0.3">
      <c r="A199" s="6">
        <v>198</v>
      </c>
      <c r="B199" s="46">
        <v>43318</v>
      </c>
      <c r="C199" s="7" t="str">
        <f t="shared" si="18"/>
        <v>2018</v>
      </c>
      <c r="D199" s="7" t="str">
        <f t="shared" si="19"/>
        <v>Aug</v>
      </c>
      <c r="E199" s="46">
        <v>43320</v>
      </c>
      <c r="F199" s="7" t="str">
        <f t="shared" si="20"/>
        <v>Aug</v>
      </c>
      <c r="G199" t="s">
        <v>93</v>
      </c>
      <c r="H199" s="47" t="s">
        <v>1561</v>
      </c>
      <c r="K199" t="s">
        <v>20</v>
      </c>
      <c r="L199" t="s">
        <v>1562</v>
      </c>
      <c r="N199" s="48" t="s">
        <v>1563</v>
      </c>
      <c r="S199" t="s">
        <v>1564</v>
      </c>
      <c r="T199" s="6" t="str">
        <f t="shared" si="21"/>
        <v>No Progress</v>
      </c>
      <c r="U199" s="48" t="s">
        <v>1565</v>
      </c>
      <c r="V199" t="str">
        <f t="shared" si="22"/>
        <v>www.techinasia.com</v>
      </c>
      <c r="W199" s="48" t="s">
        <v>1566</v>
      </c>
      <c r="X199" t="str">
        <f t="shared" si="23"/>
        <v>Neutral</v>
      </c>
    </row>
    <row r="200" spans="1:24" x14ac:dyDescent="0.3">
      <c r="A200" s="6">
        <v>199</v>
      </c>
      <c r="B200" s="46">
        <v>43318</v>
      </c>
      <c r="C200" s="7" t="str">
        <f t="shared" si="18"/>
        <v>2018</v>
      </c>
      <c r="D200" s="7" t="str">
        <f t="shared" si="19"/>
        <v>Aug</v>
      </c>
      <c r="E200" s="46">
        <v>43320</v>
      </c>
      <c r="F200" s="7" t="str">
        <f t="shared" si="20"/>
        <v>Aug</v>
      </c>
      <c r="G200" t="s">
        <v>32</v>
      </c>
      <c r="H200" t="s">
        <v>1567</v>
      </c>
      <c r="I200" t="s">
        <v>514</v>
      </c>
      <c r="J200" s="48" t="s">
        <v>1568</v>
      </c>
      <c r="K200" t="s">
        <v>20</v>
      </c>
      <c r="L200" t="s">
        <v>1569</v>
      </c>
      <c r="N200" s="48" t="s">
        <v>1570</v>
      </c>
      <c r="S200" t="s">
        <v>1571</v>
      </c>
      <c r="T200" s="6" t="str">
        <f t="shared" si="21"/>
        <v>No Progress</v>
      </c>
      <c r="U200" s="48" t="s">
        <v>1572</v>
      </c>
      <c r="V200" t="str">
        <f t="shared" si="22"/>
        <v>www.techinasia.com</v>
      </c>
      <c r="W200" s="48" t="s">
        <v>1573</v>
      </c>
      <c r="X200" t="str">
        <f t="shared" si="23"/>
        <v>Neutral</v>
      </c>
    </row>
    <row r="201" spans="1:24" x14ac:dyDescent="0.3">
      <c r="A201" s="6">
        <v>200</v>
      </c>
      <c r="B201" s="45">
        <v>43318</v>
      </c>
      <c r="C201" s="7" t="str">
        <f t="shared" si="18"/>
        <v>2018</v>
      </c>
      <c r="D201" s="7" t="str">
        <f t="shared" si="19"/>
        <v>Aug</v>
      </c>
      <c r="E201" s="45">
        <v>43319</v>
      </c>
      <c r="F201" s="7" t="str">
        <f t="shared" si="20"/>
        <v>Aug</v>
      </c>
      <c r="G201" s="37" t="s">
        <v>32</v>
      </c>
      <c r="H201" s="37" t="s">
        <v>1574</v>
      </c>
      <c r="I201" s="37" t="s">
        <v>119</v>
      </c>
      <c r="J201" s="43" t="s">
        <v>1575</v>
      </c>
      <c r="K201" s="37" t="s">
        <v>20</v>
      </c>
      <c r="L201" s="37"/>
      <c r="M201" s="37" t="s">
        <v>1576</v>
      </c>
      <c r="N201" s="37"/>
      <c r="O201" s="37"/>
      <c r="P201" s="37"/>
      <c r="Q201" s="43" t="s">
        <v>1577</v>
      </c>
      <c r="R201" s="37"/>
      <c r="S201" s="37" t="s">
        <v>1578</v>
      </c>
      <c r="T201" s="6" t="str">
        <f t="shared" si="21"/>
        <v>Cold</v>
      </c>
      <c r="U201" s="43" t="s">
        <v>1579</v>
      </c>
      <c r="V201" t="str">
        <f t="shared" si="22"/>
        <v>www.techinasia.com</v>
      </c>
      <c r="W201" s="43" t="s">
        <v>1580</v>
      </c>
      <c r="X201" t="str">
        <f t="shared" si="23"/>
        <v>Neutral</v>
      </c>
    </row>
    <row r="202" spans="1:24" x14ac:dyDescent="0.3">
      <c r="A202" s="6">
        <v>201</v>
      </c>
      <c r="B202" s="45">
        <v>43318</v>
      </c>
      <c r="C202" s="7" t="str">
        <f t="shared" si="18"/>
        <v>2018</v>
      </c>
      <c r="D202" s="7" t="str">
        <f t="shared" si="19"/>
        <v>Aug</v>
      </c>
      <c r="E202" s="45">
        <v>43319</v>
      </c>
      <c r="F202" s="7" t="str">
        <f t="shared" si="20"/>
        <v>Aug</v>
      </c>
      <c r="G202" s="37" t="s">
        <v>712</v>
      </c>
      <c r="H202" s="37" t="s">
        <v>1581</v>
      </c>
      <c r="I202" s="37" t="s">
        <v>330</v>
      </c>
      <c r="J202" s="43" t="s">
        <v>1582</v>
      </c>
      <c r="K202" s="37" t="s">
        <v>20</v>
      </c>
      <c r="L202" s="37" t="s">
        <v>1583</v>
      </c>
      <c r="M202" s="37" t="s">
        <v>1584</v>
      </c>
      <c r="N202" s="43" t="s">
        <v>1585</v>
      </c>
      <c r="O202" s="37"/>
      <c r="P202" s="37"/>
      <c r="Q202" s="43" t="s">
        <v>1586</v>
      </c>
      <c r="R202" s="37"/>
      <c r="S202" s="37" t="s">
        <v>1587</v>
      </c>
      <c r="T202" s="6" t="str">
        <f t="shared" si="21"/>
        <v>Cold</v>
      </c>
      <c r="U202" s="43" t="s">
        <v>1588</v>
      </c>
      <c r="V202" t="str">
        <f t="shared" si="22"/>
        <v>www.f6s.com</v>
      </c>
      <c r="W202" s="43" t="s">
        <v>1589</v>
      </c>
      <c r="X202" t="str">
        <f t="shared" si="23"/>
        <v>Negative</v>
      </c>
    </row>
    <row r="203" spans="1:24" x14ac:dyDescent="0.3">
      <c r="A203" s="6">
        <v>202</v>
      </c>
      <c r="B203" s="46">
        <v>43318</v>
      </c>
      <c r="C203" s="7" t="str">
        <f t="shared" si="18"/>
        <v>2018</v>
      </c>
      <c r="D203" s="7" t="str">
        <f t="shared" si="19"/>
        <v>Aug</v>
      </c>
      <c r="E203" s="46">
        <v>43318</v>
      </c>
      <c r="F203" s="7" t="str">
        <f t="shared" si="20"/>
        <v>Aug</v>
      </c>
      <c r="G203" t="s">
        <v>1530</v>
      </c>
      <c r="H203" t="s">
        <v>1590</v>
      </c>
      <c r="I203" t="s">
        <v>626</v>
      </c>
      <c r="J203" s="48" t="s">
        <v>1591</v>
      </c>
      <c r="K203" t="s">
        <v>20</v>
      </c>
      <c r="L203" t="s">
        <v>1592</v>
      </c>
      <c r="M203" t="s">
        <v>1593</v>
      </c>
      <c r="N203" s="48" t="s">
        <v>1594</v>
      </c>
      <c r="R203" s="48" t="s">
        <v>1595</v>
      </c>
      <c r="S203" t="s">
        <v>1596</v>
      </c>
      <c r="T203" s="6" t="str">
        <f t="shared" si="21"/>
        <v>No Progress</v>
      </c>
      <c r="U203" s="48" t="s">
        <v>1597</v>
      </c>
      <c r="V203" t="str">
        <f t="shared" si="22"/>
        <v>www.f6s.com</v>
      </c>
      <c r="W203" s="48" t="s">
        <v>1598</v>
      </c>
      <c r="X203" t="str">
        <f t="shared" si="23"/>
        <v>Neutral</v>
      </c>
    </row>
    <row r="204" spans="1:24" x14ac:dyDescent="0.3">
      <c r="A204" s="6">
        <v>203</v>
      </c>
      <c r="B204" s="45">
        <v>43318</v>
      </c>
      <c r="C204" s="7" t="str">
        <f t="shared" si="18"/>
        <v>2018</v>
      </c>
      <c r="D204" s="7" t="str">
        <f t="shared" si="19"/>
        <v>Aug</v>
      </c>
      <c r="E204" s="45">
        <v>43319</v>
      </c>
      <c r="F204" s="7" t="str">
        <f t="shared" si="20"/>
        <v>Aug</v>
      </c>
      <c r="G204" s="37" t="s">
        <v>490</v>
      </c>
      <c r="H204" s="37" t="s">
        <v>1599</v>
      </c>
      <c r="I204" s="37" t="s">
        <v>503</v>
      </c>
      <c r="J204" s="43" t="s">
        <v>1600</v>
      </c>
      <c r="K204" s="37" t="s">
        <v>20</v>
      </c>
      <c r="L204" s="37" t="s">
        <v>1601</v>
      </c>
      <c r="M204" s="37" t="s">
        <v>1602</v>
      </c>
      <c r="N204" s="37"/>
      <c r="O204" s="37"/>
      <c r="P204" s="37"/>
      <c r="Q204" s="43" t="s">
        <v>1603</v>
      </c>
      <c r="R204" s="37"/>
      <c r="S204" s="37" t="s">
        <v>1604</v>
      </c>
      <c r="T204" s="6" t="str">
        <f t="shared" si="21"/>
        <v>Cold</v>
      </c>
      <c r="U204" s="43" t="s">
        <v>1605</v>
      </c>
      <c r="V204" t="str">
        <f t="shared" si="22"/>
        <v>remote.co</v>
      </c>
      <c r="W204" s="43" t="s">
        <v>1606</v>
      </c>
      <c r="X204" t="str">
        <f t="shared" si="23"/>
        <v>Neutral</v>
      </c>
    </row>
    <row r="205" spans="1:24" x14ac:dyDescent="0.3">
      <c r="A205" s="6">
        <v>204</v>
      </c>
      <c r="B205" s="45">
        <v>43319</v>
      </c>
      <c r="C205" s="7" t="str">
        <f t="shared" si="18"/>
        <v>2018</v>
      </c>
      <c r="D205" s="7" t="str">
        <f t="shared" si="19"/>
        <v>Aug</v>
      </c>
      <c r="E205" s="45">
        <v>43321</v>
      </c>
      <c r="F205" s="7" t="str">
        <f t="shared" si="20"/>
        <v>Aug</v>
      </c>
      <c r="G205" s="37" t="s">
        <v>17</v>
      </c>
      <c r="H205" s="37" t="s">
        <v>1607</v>
      </c>
      <c r="I205" s="37" t="s">
        <v>1188</v>
      </c>
      <c r="J205" s="43" t="s">
        <v>1608</v>
      </c>
      <c r="K205" s="37" t="s">
        <v>20</v>
      </c>
      <c r="L205" s="37" t="s">
        <v>1609</v>
      </c>
      <c r="M205" s="37"/>
      <c r="N205" s="43" t="s">
        <v>1610</v>
      </c>
      <c r="O205" s="37"/>
      <c r="P205" s="37"/>
      <c r="Q205" s="37"/>
      <c r="R205" s="37"/>
      <c r="S205" s="37" t="s">
        <v>1611</v>
      </c>
      <c r="T205" s="6" t="str">
        <f t="shared" si="21"/>
        <v>Cold</v>
      </c>
      <c r="U205" s="43" t="s">
        <v>1612</v>
      </c>
      <c r="V205" t="str">
        <f t="shared" si="22"/>
        <v>startupjobs.asia</v>
      </c>
      <c r="W205" s="43" t="s">
        <v>1613</v>
      </c>
      <c r="X205" t="str">
        <f t="shared" si="23"/>
        <v>Negative</v>
      </c>
    </row>
    <row r="206" spans="1:24" x14ac:dyDescent="0.3">
      <c r="A206" s="6">
        <v>205</v>
      </c>
      <c r="B206" s="69">
        <v>43319</v>
      </c>
      <c r="C206" s="7" t="str">
        <f t="shared" si="18"/>
        <v>2018</v>
      </c>
      <c r="D206" s="7" t="str">
        <f t="shared" si="19"/>
        <v>Aug</v>
      </c>
      <c r="E206" s="69">
        <v>43319</v>
      </c>
      <c r="F206" s="7" t="str">
        <f t="shared" si="20"/>
        <v>Aug</v>
      </c>
      <c r="G206" s="65" t="s">
        <v>1614</v>
      </c>
      <c r="H206" s="65" t="s">
        <v>1615</v>
      </c>
      <c r="I206" s="65" t="s">
        <v>1616</v>
      </c>
      <c r="J206" s="70" t="s">
        <v>1617</v>
      </c>
      <c r="K206" s="65" t="s">
        <v>20</v>
      </c>
      <c r="L206" s="65" t="s">
        <v>1618</v>
      </c>
      <c r="M206" s="65" t="s">
        <v>1619</v>
      </c>
      <c r="N206" s="65"/>
      <c r="O206" s="65"/>
      <c r="P206" s="65"/>
      <c r="Q206" s="70" t="s">
        <v>1620</v>
      </c>
      <c r="R206" s="65"/>
      <c r="S206" s="65" t="s">
        <v>1621</v>
      </c>
      <c r="T206" s="6" t="str">
        <f t="shared" si="21"/>
        <v>Hot</v>
      </c>
      <c r="U206" s="70" t="s">
        <v>1622</v>
      </c>
      <c r="V206" t="str">
        <f t="shared" si="22"/>
        <v>www.f6s.com</v>
      </c>
      <c r="W206" s="70" t="s">
        <v>1623</v>
      </c>
      <c r="X206" t="str">
        <f t="shared" si="23"/>
        <v>Neutral</v>
      </c>
    </row>
    <row r="207" spans="1:24" x14ac:dyDescent="0.3">
      <c r="A207" s="6">
        <v>206</v>
      </c>
      <c r="B207" s="46">
        <v>43319</v>
      </c>
      <c r="C207" s="7" t="str">
        <f t="shared" si="18"/>
        <v>2018</v>
      </c>
      <c r="D207" s="7" t="str">
        <f t="shared" si="19"/>
        <v>Aug</v>
      </c>
      <c r="E207" s="46">
        <v>43320</v>
      </c>
      <c r="F207" s="7" t="str">
        <f t="shared" si="20"/>
        <v>Aug</v>
      </c>
      <c r="G207" t="s">
        <v>1624</v>
      </c>
      <c r="H207" s="47" t="s">
        <v>1625</v>
      </c>
      <c r="I207" t="s">
        <v>175</v>
      </c>
      <c r="J207" s="48" t="s">
        <v>1626</v>
      </c>
      <c r="K207" t="s">
        <v>20</v>
      </c>
      <c r="L207" t="s">
        <v>1627</v>
      </c>
      <c r="M207" t="s">
        <v>1628</v>
      </c>
      <c r="S207" t="s">
        <v>1629</v>
      </c>
      <c r="T207" s="6" t="str">
        <f t="shared" si="21"/>
        <v>No Progress</v>
      </c>
      <c r="U207" s="48" t="s">
        <v>1630</v>
      </c>
      <c r="V207" t="str">
        <f t="shared" si="22"/>
        <v>www.f6s.com</v>
      </c>
      <c r="W207" s="48" t="s">
        <v>1631</v>
      </c>
      <c r="X207" t="str">
        <f t="shared" si="23"/>
        <v>Negative</v>
      </c>
    </row>
    <row r="208" spans="1:24" x14ac:dyDescent="0.3">
      <c r="A208" s="6">
        <v>207</v>
      </c>
      <c r="B208" s="46">
        <v>43319</v>
      </c>
      <c r="C208" s="7" t="str">
        <f t="shared" si="18"/>
        <v>2018</v>
      </c>
      <c r="D208" s="7" t="str">
        <f t="shared" si="19"/>
        <v>Aug</v>
      </c>
      <c r="E208" s="46">
        <v>43321</v>
      </c>
      <c r="F208" s="7" t="str">
        <f t="shared" si="20"/>
        <v>Aug</v>
      </c>
      <c r="G208" t="s">
        <v>712</v>
      </c>
      <c r="H208" t="s">
        <v>1632</v>
      </c>
      <c r="I208" t="s">
        <v>1633</v>
      </c>
      <c r="J208" s="48" t="s">
        <v>1634</v>
      </c>
      <c r="K208" t="s">
        <v>20</v>
      </c>
      <c r="L208" t="s">
        <v>1635</v>
      </c>
      <c r="N208" t="s">
        <v>1636</v>
      </c>
      <c r="Q208" s="48" t="s">
        <v>1637</v>
      </c>
      <c r="S208" t="s">
        <v>1638</v>
      </c>
      <c r="T208" s="6" t="str">
        <f t="shared" si="21"/>
        <v>No Progress</v>
      </c>
      <c r="U208" s="48" t="s">
        <v>1639</v>
      </c>
      <c r="V208" t="str">
        <f t="shared" si="22"/>
        <v>www.f6s.com</v>
      </c>
      <c r="W208" s="48" t="s">
        <v>1640</v>
      </c>
      <c r="X208" t="str">
        <f t="shared" si="23"/>
        <v>Neutral</v>
      </c>
    </row>
    <row r="209" spans="1:24" x14ac:dyDescent="0.3">
      <c r="A209" s="6">
        <v>208</v>
      </c>
      <c r="B209" s="46">
        <v>43319</v>
      </c>
      <c r="C209" s="7" t="str">
        <f t="shared" si="18"/>
        <v>2018</v>
      </c>
      <c r="D209" s="7" t="str">
        <f t="shared" si="19"/>
        <v>Aug</v>
      </c>
      <c r="E209" s="46">
        <v>43319</v>
      </c>
      <c r="F209" s="7" t="str">
        <f t="shared" si="20"/>
        <v>Aug</v>
      </c>
      <c r="G209" t="s">
        <v>553</v>
      </c>
      <c r="H209" t="s">
        <v>1641</v>
      </c>
      <c r="I209" t="s">
        <v>1642</v>
      </c>
      <c r="K209" t="s">
        <v>20</v>
      </c>
      <c r="L209" t="s">
        <v>1643</v>
      </c>
      <c r="S209" t="s">
        <v>1644</v>
      </c>
      <c r="T209" s="6" t="str">
        <f t="shared" si="21"/>
        <v>No Progress</v>
      </c>
      <c r="U209" s="48" t="s">
        <v>1645</v>
      </c>
      <c r="V209" t="str">
        <f t="shared" si="22"/>
        <v>www.f6s.com</v>
      </c>
      <c r="W209" s="48" t="s">
        <v>1646</v>
      </c>
      <c r="X209" t="str">
        <f t="shared" si="23"/>
        <v>Neutral</v>
      </c>
    </row>
    <row r="210" spans="1:24" x14ac:dyDescent="0.3">
      <c r="A210" s="6">
        <v>209</v>
      </c>
      <c r="B210" s="46">
        <v>43319</v>
      </c>
      <c r="C210" s="7" t="str">
        <f t="shared" si="18"/>
        <v>2018</v>
      </c>
      <c r="D210" s="7" t="str">
        <f t="shared" si="19"/>
        <v>Aug</v>
      </c>
      <c r="E210" s="46">
        <v>43321</v>
      </c>
      <c r="F210" s="7" t="str">
        <f t="shared" si="20"/>
        <v>Aug</v>
      </c>
      <c r="G210" t="s">
        <v>756</v>
      </c>
      <c r="H210" s="47" t="s">
        <v>1647</v>
      </c>
      <c r="I210" t="s">
        <v>427</v>
      </c>
      <c r="J210" s="48" t="s">
        <v>1648</v>
      </c>
      <c r="K210" t="s">
        <v>20</v>
      </c>
      <c r="L210" t="s">
        <v>1649</v>
      </c>
      <c r="M210" t="s">
        <v>1650</v>
      </c>
      <c r="N210" s="48" t="s">
        <v>1651</v>
      </c>
      <c r="Q210" s="48" t="s">
        <v>1652</v>
      </c>
      <c r="S210" t="s">
        <v>1653</v>
      </c>
      <c r="T210" s="6" t="str">
        <f t="shared" si="21"/>
        <v>No Progress</v>
      </c>
      <c r="U210" s="48" t="s">
        <v>1654</v>
      </c>
      <c r="V210" t="str">
        <f t="shared" si="22"/>
        <v>www.f6s.com</v>
      </c>
      <c r="W210" s="48" t="s">
        <v>1655</v>
      </c>
      <c r="X210" t="str">
        <f t="shared" si="23"/>
        <v>Neutral</v>
      </c>
    </row>
    <row r="211" spans="1:24" x14ac:dyDescent="0.3">
      <c r="A211" s="6">
        <v>210</v>
      </c>
      <c r="B211" s="46">
        <v>43319</v>
      </c>
      <c r="C211" s="7" t="str">
        <f t="shared" si="18"/>
        <v>2018</v>
      </c>
      <c r="D211" s="7" t="str">
        <f t="shared" si="19"/>
        <v>Aug</v>
      </c>
      <c r="E211" s="46">
        <v>43321</v>
      </c>
      <c r="F211" s="7" t="str">
        <f t="shared" si="20"/>
        <v>Aug</v>
      </c>
      <c r="G211" t="s">
        <v>1656</v>
      </c>
      <c r="H211" t="s">
        <v>1657</v>
      </c>
      <c r="I211" t="s">
        <v>204</v>
      </c>
      <c r="J211" s="48" t="s">
        <v>1658</v>
      </c>
      <c r="K211" t="s">
        <v>20</v>
      </c>
      <c r="L211" t="s">
        <v>1659</v>
      </c>
      <c r="N211" s="48" t="s">
        <v>1660</v>
      </c>
      <c r="S211" t="s">
        <v>1638</v>
      </c>
      <c r="T211" s="6" t="str">
        <f t="shared" si="21"/>
        <v>No Progress</v>
      </c>
      <c r="U211" s="48" t="s">
        <v>1661</v>
      </c>
      <c r="V211" t="str">
        <f t="shared" si="22"/>
        <v>www.f6s.com</v>
      </c>
      <c r="W211" s="48" t="s">
        <v>1662</v>
      </c>
      <c r="X211" t="str">
        <f t="shared" si="23"/>
        <v>Neutral</v>
      </c>
    </row>
    <row r="212" spans="1:24" x14ac:dyDescent="0.3">
      <c r="A212" s="6">
        <v>211</v>
      </c>
      <c r="B212" s="46">
        <v>43319</v>
      </c>
      <c r="C212" s="7" t="str">
        <f t="shared" si="18"/>
        <v>2018</v>
      </c>
      <c r="D212" s="7" t="str">
        <f t="shared" si="19"/>
        <v>Aug</v>
      </c>
      <c r="E212" s="46">
        <v>43321</v>
      </c>
      <c r="F212" s="7" t="str">
        <f t="shared" si="20"/>
        <v>Aug</v>
      </c>
      <c r="G212" t="s">
        <v>1663</v>
      </c>
      <c r="H212" s="47" t="s">
        <v>1664</v>
      </c>
      <c r="I212" t="s">
        <v>1665</v>
      </c>
      <c r="J212" s="48" t="s">
        <v>1666</v>
      </c>
      <c r="K212" t="s">
        <v>20</v>
      </c>
      <c r="L212" t="s">
        <v>1667</v>
      </c>
      <c r="N212" s="48" t="s">
        <v>1668</v>
      </c>
      <c r="P212" s="48" t="s">
        <v>1669</v>
      </c>
      <c r="Q212" s="48" t="s">
        <v>1670</v>
      </c>
      <c r="S212" t="s">
        <v>1638</v>
      </c>
      <c r="T212" s="6" t="str">
        <f t="shared" si="21"/>
        <v>No Progress</v>
      </c>
      <c r="U212" s="48" t="s">
        <v>1671</v>
      </c>
      <c r="V212" t="str">
        <f t="shared" si="22"/>
        <v>www.f6s.com</v>
      </c>
      <c r="W212" s="48" t="s">
        <v>1672</v>
      </c>
      <c r="X212" t="str">
        <f t="shared" si="23"/>
        <v>Neutral</v>
      </c>
    </row>
    <row r="213" spans="1:24" x14ac:dyDescent="0.3">
      <c r="A213" s="6">
        <v>212</v>
      </c>
      <c r="B213" s="46">
        <v>43319</v>
      </c>
      <c r="C213" s="7" t="str">
        <f t="shared" si="18"/>
        <v>2018</v>
      </c>
      <c r="D213" s="7" t="str">
        <f t="shared" si="19"/>
        <v>Aug</v>
      </c>
      <c r="E213" s="46">
        <v>43322</v>
      </c>
      <c r="F213" s="7" t="str">
        <f t="shared" si="20"/>
        <v>Aug</v>
      </c>
      <c r="G213" t="s">
        <v>76</v>
      </c>
      <c r="H213" t="s">
        <v>1673</v>
      </c>
      <c r="I213" t="s">
        <v>964</v>
      </c>
      <c r="J213" s="48" t="s">
        <v>1674</v>
      </c>
      <c r="K213" t="s">
        <v>20</v>
      </c>
      <c r="L213" t="s">
        <v>1675</v>
      </c>
      <c r="M213" t="s">
        <v>1676</v>
      </c>
      <c r="N213" s="48" t="s">
        <v>1677</v>
      </c>
      <c r="S213" t="s">
        <v>1678</v>
      </c>
      <c r="T213" s="6" t="str">
        <f t="shared" si="21"/>
        <v>No Progress</v>
      </c>
      <c r="U213" s="48" t="s">
        <v>1679</v>
      </c>
      <c r="V213" t="str">
        <f t="shared" si="22"/>
        <v>www.f6s.com</v>
      </c>
      <c r="W213" s="48" t="s">
        <v>1680</v>
      </c>
      <c r="X213" t="str">
        <f t="shared" si="23"/>
        <v>Negative</v>
      </c>
    </row>
    <row r="214" spans="1:24" x14ac:dyDescent="0.3">
      <c r="A214" s="6">
        <v>213</v>
      </c>
      <c r="B214" s="46">
        <v>43319</v>
      </c>
      <c r="C214" s="7" t="str">
        <f t="shared" si="18"/>
        <v>2018</v>
      </c>
      <c r="D214" s="7" t="str">
        <f t="shared" si="19"/>
        <v>Aug</v>
      </c>
      <c r="E214" s="46">
        <v>43321</v>
      </c>
      <c r="F214" s="7" t="str">
        <f t="shared" si="20"/>
        <v>Aug</v>
      </c>
      <c r="G214" t="s">
        <v>553</v>
      </c>
      <c r="H214" t="s">
        <v>1681</v>
      </c>
      <c r="I214" t="s">
        <v>105</v>
      </c>
      <c r="J214" s="48" t="s">
        <v>1682</v>
      </c>
      <c r="K214" t="s">
        <v>20</v>
      </c>
      <c r="L214" t="s">
        <v>1683</v>
      </c>
      <c r="N214" s="48" t="s">
        <v>1684</v>
      </c>
      <c r="S214" t="s">
        <v>1685</v>
      </c>
      <c r="T214" s="6" t="str">
        <f t="shared" si="21"/>
        <v>No Progress</v>
      </c>
      <c r="U214" s="48" t="s">
        <v>1686</v>
      </c>
      <c r="V214" t="str">
        <f t="shared" si="22"/>
        <v>www.f6s.com</v>
      </c>
      <c r="W214" s="48" t="s">
        <v>1687</v>
      </c>
      <c r="X214" t="str">
        <f t="shared" si="23"/>
        <v>Negative</v>
      </c>
    </row>
    <row r="215" spans="1:24" x14ac:dyDescent="0.3">
      <c r="A215" s="6">
        <v>214</v>
      </c>
      <c r="B215" s="50">
        <v>43319</v>
      </c>
      <c r="C215" s="7" t="str">
        <f t="shared" si="18"/>
        <v>2018</v>
      </c>
      <c r="D215" s="7" t="str">
        <f t="shared" si="19"/>
        <v>Aug</v>
      </c>
      <c r="E215" s="50">
        <v>43319</v>
      </c>
      <c r="F215" s="7" t="str">
        <f t="shared" si="20"/>
        <v>Aug</v>
      </c>
      <c r="G215" s="49" t="s">
        <v>490</v>
      </c>
      <c r="H215" s="47" t="s">
        <v>1688</v>
      </c>
      <c r="I215" s="49" t="s">
        <v>119</v>
      </c>
      <c r="J215" s="51" t="s">
        <v>1689</v>
      </c>
      <c r="K215" s="49" t="s">
        <v>20</v>
      </c>
      <c r="L215" s="49" t="s">
        <v>1690</v>
      </c>
      <c r="M215" s="49"/>
      <c r="N215" s="51" t="s">
        <v>1691</v>
      </c>
      <c r="O215" s="49"/>
      <c r="P215" s="49"/>
      <c r="Q215" s="49"/>
      <c r="R215" s="49"/>
      <c r="S215" s="49" t="s">
        <v>1692</v>
      </c>
      <c r="T215" s="6" t="str">
        <f t="shared" si="21"/>
        <v>Warm</v>
      </c>
      <c r="U215" s="51" t="s">
        <v>1693</v>
      </c>
      <c r="V215" t="str">
        <f t="shared" si="22"/>
        <v>www.f6s.com</v>
      </c>
      <c r="W215" s="51" t="s">
        <v>1694</v>
      </c>
      <c r="X215" t="str">
        <f t="shared" si="23"/>
        <v>Neutral</v>
      </c>
    </row>
    <row r="216" spans="1:24" x14ac:dyDescent="0.3">
      <c r="A216" s="6">
        <v>215</v>
      </c>
      <c r="B216" s="46">
        <v>43319</v>
      </c>
      <c r="C216" s="7" t="str">
        <f t="shared" si="18"/>
        <v>2018</v>
      </c>
      <c r="D216" s="7" t="str">
        <f t="shared" si="19"/>
        <v>Aug</v>
      </c>
      <c r="E216" s="46">
        <v>43321</v>
      </c>
      <c r="F216" s="7" t="str">
        <f t="shared" si="20"/>
        <v>Aug</v>
      </c>
      <c r="G216" t="s">
        <v>181</v>
      </c>
      <c r="H216" t="s">
        <v>1695</v>
      </c>
      <c r="I216" t="s">
        <v>330</v>
      </c>
      <c r="J216" s="48" t="s">
        <v>1696</v>
      </c>
      <c r="K216" t="s">
        <v>20</v>
      </c>
      <c r="L216" t="s">
        <v>1697</v>
      </c>
      <c r="M216" t="s">
        <v>1698</v>
      </c>
      <c r="N216" s="48" t="s">
        <v>1699</v>
      </c>
      <c r="Q216" s="48" t="s">
        <v>1700</v>
      </c>
      <c r="S216" t="s">
        <v>1701</v>
      </c>
      <c r="T216" s="6" t="str">
        <f t="shared" si="21"/>
        <v>No Progress</v>
      </c>
      <c r="U216" s="48" t="s">
        <v>1702</v>
      </c>
      <c r="V216" t="str">
        <f t="shared" si="22"/>
        <v>www.f6s.com</v>
      </c>
      <c r="W216" s="48" t="s">
        <v>1703</v>
      </c>
      <c r="X216" t="str">
        <f t="shared" si="23"/>
        <v>Negative</v>
      </c>
    </row>
    <row r="217" spans="1:24" x14ac:dyDescent="0.3">
      <c r="A217" s="6">
        <v>216</v>
      </c>
      <c r="B217" s="45">
        <v>43319</v>
      </c>
      <c r="C217" s="7" t="str">
        <f t="shared" si="18"/>
        <v>2018</v>
      </c>
      <c r="D217" s="7" t="str">
        <f t="shared" si="19"/>
        <v>Aug</v>
      </c>
      <c r="E217" s="45">
        <v>43319</v>
      </c>
      <c r="F217" s="7" t="str">
        <f t="shared" si="20"/>
        <v>Aug</v>
      </c>
      <c r="G217" s="37" t="s">
        <v>1704</v>
      </c>
      <c r="H217" s="47" t="s">
        <v>1705</v>
      </c>
      <c r="I217" s="37" t="s">
        <v>119</v>
      </c>
      <c r="J217" s="43" t="s">
        <v>1706</v>
      </c>
      <c r="K217" s="37" t="s">
        <v>20</v>
      </c>
      <c r="L217" s="37" t="s">
        <v>1707</v>
      </c>
      <c r="M217" s="37"/>
      <c r="N217" s="37"/>
      <c r="O217" s="37"/>
      <c r="P217" s="37"/>
      <c r="Q217" s="37"/>
      <c r="R217" s="37"/>
      <c r="S217" s="37" t="s">
        <v>1708</v>
      </c>
      <c r="T217" s="6" t="str">
        <f t="shared" si="21"/>
        <v>Cold</v>
      </c>
      <c r="U217" s="43" t="s">
        <v>1709</v>
      </c>
      <c r="V217" t="str">
        <f t="shared" si="22"/>
        <v>www.f6s.com</v>
      </c>
      <c r="W217" s="43" t="s">
        <v>1710</v>
      </c>
      <c r="X217" t="str">
        <f t="shared" si="23"/>
        <v>Negative</v>
      </c>
    </row>
    <row r="218" spans="1:24" x14ac:dyDescent="0.3">
      <c r="A218" s="6">
        <v>217</v>
      </c>
      <c r="B218" s="46">
        <v>43319</v>
      </c>
      <c r="C218" s="7" t="str">
        <f t="shared" si="18"/>
        <v>2018</v>
      </c>
      <c r="D218" s="7" t="str">
        <f t="shared" si="19"/>
        <v>Aug</v>
      </c>
      <c r="E218" s="46">
        <v>43321</v>
      </c>
      <c r="F218" s="7" t="str">
        <f t="shared" si="20"/>
        <v>Aug</v>
      </c>
      <c r="G218" t="s">
        <v>76</v>
      </c>
      <c r="H218" t="s">
        <v>1711</v>
      </c>
      <c r="I218" t="s">
        <v>175</v>
      </c>
      <c r="J218" s="48" t="s">
        <v>1712</v>
      </c>
      <c r="K218" t="s">
        <v>20</v>
      </c>
      <c r="L218" t="s">
        <v>1713</v>
      </c>
      <c r="N218" s="48" t="s">
        <v>1714</v>
      </c>
      <c r="S218" t="s">
        <v>1638</v>
      </c>
      <c r="T218" s="6" t="str">
        <f t="shared" si="21"/>
        <v>No Progress</v>
      </c>
      <c r="U218" s="48" t="s">
        <v>1715</v>
      </c>
      <c r="V218" t="str">
        <f t="shared" si="22"/>
        <v>www.f6s.com</v>
      </c>
      <c r="W218" s="48" t="s">
        <v>1716</v>
      </c>
      <c r="X218" t="str">
        <f t="shared" si="23"/>
        <v>Neutral</v>
      </c>
    </row>
    <row r="219" spans="1:24" x14ac:dyDescent="0.3">
      <c r="A219" s="6">
        <v>218</v>
      </c>
      <c r="B219" s="46">
        <v>43319</v>
      </c>
      <c r="C219" s="7" t="str">
        <f t="shared" si="18"/>
        <v>2018</v>
      </c>
      <c r="D219" s="7" t="str">
        <f t="shared" si="19"/>
        <v>Aug</v>
      </c>
      <c r="E219" s="46">
        <v>43321</v>
      </c>
      <c r="F219" s="7" t="str">
        <f t="shared" si="20"/>
        <v>Aug</v>
      </c>
      <c r="G219" t="s">
        <v>490</v>
      </c>
      <c r="H219" t="s">
        <v>1717</v>
      </c>
      <c r="I219" t="s">
        <v>1296</v>
      </c>
      <c r="J219" s="48" t="s">
        <v>1718</v>
      </c>
      <c r="K219" t="s">
        <v>20</v>
      </c>
      <c r="L219" t="s">
        <v>1719</v>
      </c>
      <c r="N219" s="48" t="s">
        <v>1720</v>
      </c>
      <c r="Q219" s="48" t="s">
        <v>1721</v>
      </c>
      <c r="S219" t="s">
        <v>1638</v>
      </c>
      <c r="T219" s="6" t="str">
        <f t="shared" si="21"/>
        <v>No Progress</v>
      </c>
      <c r="U219" s="48" t="s">
        <v>1722</v>
      </c>
      <c r="V219" t="str">
        <f t="shared" si="22"/>
        <v>www.f6s.com</v>
      </c>
      <c r="W219" s="48" t="s">
        <v>1723</v>
      </c>
      <c r="X219" t="str">
        <f t="shared" si="23"/>
        <v>Neutral</v>
      </c>
    </row>
    <row r="220" spans="1:24" x14ac:dyDescent="0.3">
      <c r="A220" s="6">
        <v>219</v>
      </c>
      <c r="B220" s="46">
        <v>43319</v>
      </c>
      <c r="C220" s="7" t="str">
        <f t="shared" si="18"/>
        <v>2018</v>
      </c>
      <c r="D220" s="7" t="str">
        <f t="shared" si="19"/>
        <v>Aug</v>
      </c>
      <c r="E220" s="46">
        <v>43321</v>
      </c>
      <c r="F220" s="7" t="str">
        <f t="shared" si="20"/>
        <v>Aug</v>
      </c>
      <c r="G220" t="s">
        <v>748</v>
      </c>
      <c r="H220" t="s">
        <v>1724</v>
      </c>
      <c r="I220" t="s">
        <v>1725</v>
      </c>
      <c r="J220" s="48" t="s">
        <v>1726</v>
      </c>
      <c r="K220" t="s">
        <v>20</v>
      </c>
      <c r="L220" t="s">
        <v>1727</v>
      </c>
      <c r="N220" s="48" t="s">
        <v>1728</v>
      </c>
      <c r="Q220" s="48" t="s">
        <v>1729</v>
      </c>
      <c r="S220" t="s">
        <v>1638</v>
      </c>
      <c r="T220" s="6" t="str">
        <f t="shared" si="21"/>
        <v>No Progress</v>
      </c>
      <c r="U220" s="48" t="s">
        <v>1730</v>
      </c>
      <c r="V220" t="str">
        <f t="shared" si="22"/>
        <v>www.f6s.com</v>
      </c>
      <c r="W220" s="48" t="s">
        <v>1731</v>
      </c>
      <c r="X220" t="str">
        <f t="shared" si="23"/>
        <v>Neutral</v>
      </c>
    </row>
    <row r="221" spans="1:24" x14ac:dyDescent="0.3">
      <c r="A221" s="6">
        <v>220</v>
      </c>
      <c r="B221" s="46">
        <v>43319</v>
      </c>
      <c r="C221" s="7" t="str">
        <f t="shared" si="18"/>
        <v>2018</v>
      </c>
      <c r="D221" s="7" t="str">
        <f t="shared" si="19"/>
        <v>Aug</v>
      </c>
      <c r="E221" s="46">
        <v>43321</v>
      </c>
      <c r="F221" s="7" t="str">
        <f t="shared" si="20"/>
        <v>Aug</v>
      </c>
      <c r="G221" t="s">
        <v>521</v>
      </c>
      <c r="H221" t="s">
        <v>1732</v>
      </c>
      <c r="I221" t="s">
        <v>330</v>
      </c>
      <c r="J221" s="48" t="s">
        <v>1733</v>
      </c>
      <c r="K221" t="s">
        <v>20</v>
      </c>
      <c r="L221" t="s">
        <v>1734</v>
      </c>
      <c r="M221" t="s">
        <v>1735</v>
      </c>
      <c r="N221" s="48" t="s">
        <v>1736</v>
      </c>
      <c r="Q221" s="48" t="s">
        <v>1737</v>
      </c>
      <c r="S221" t="s">
        <v>1701</v>
      </c>
      <c r="T221" s="6" t="str">
        <f t="shared" si="21"/>
        <v>No Progress</v>
      </c>
      <c r="U221" s="48" t="s">
        <v>1738</v>
      </c>
      <c r="V221" t="str">
        <f t="shared" si="22"/>
        <v>www.f6s.com</v>
      </c>
      <c r="W221" s="48" t="s">
        <v>1739</v>
      </c>
      <c r="X221" t="str">
        <f t="shared" si="23"/>
        <v>Negative</v>
      </c>
    </row>
    <row r="222" spans="1:24" x14ac:dyDescent="0.3">
      <c r="A222" s="6">
        <v>221</v>
      </c>
      <c r="B222" s="46">
        <v>43319</v>
      </c>
      <c r="C222" s="7" t="str">
        <f t="shared" si="18"/>
        <v>2018</v>
      </c>
      <c r="D222" s="7" t="str">
        <f t="shared" si="19"/>
        <v>Aug</v>
      </c>
      <c r="E222" s="46">
        <v>43321</v>
      </c>
      <c r="F222" s="7" t="str">
        <f t="shared" si="20"/>
        <v>Aug</v>
      </c>
      <c r="G222" t="s">
        <v>191</v>
      </c>
      <c r="H222" s="47" t="s">
        <v>1740</v>
      </c>
      <c r="I222" t="s">
        <v>1111</v>
      </c>
      <c r="J222" s="48" t="s">
        <v>1741</v>
      </c>
      <c r="K222" t="s">
        <v>20</v>
      </c>
      <c r="L222" t="s">
        <v>1742</v>
      </c>
      <c r="N222" s="48" t="s">
        <v>1743</v>
      </c>
      <c r="S222" t="s">
        <v>1744</v>
      </c>
      <c r="T222" s="6" t="str">
        <f t="shared" si="21"/>
        <v>No Progress</v>
      </c>
      <c r="U222" s="48" t="s">
        <v>1745</v>
      </c>
      <c r="V222" t="str">
        <f t="shared" si="22"/>
        <v>www.f6s.com</v>
      </c>
      <c r="W222" s="48" t="s">
        <v>1746</v>
      </c>
      <c r="X222" t="str">
        <f t="shared" si="23"/>
        <v>Neutral</v>
      </c>
    </row>
    <row r="223" spans="1:24" x14ac:dyDescent="0.3">
      <c r="A223" s="6">
        <v>222</v>
      </c>
      <c r="B223" s="46">
        <v>43319</v>
      </c>
      <c r="C223" s="7" t="str">
        <f t="shared" si="18"/>
        <v>2018</v>
      </c>
      <c r="D223" s="7" t="str">
        <f t="shared" si="19"/>
        <v>Aug</v>
      </c>
      <c r="E223" s="46">
        <v>43322</v>
      </c>
      <c r="F223" s="7" t="str">
        <f t="shared" si="20"/>
        <v>Aug</v>
      </c>
      <c r="G223" t="s">
        <v>765</v>
      </c>
      <c r="H223" s="47" t="s">
        <v>1747</v>
      </c>
      <c r="I223" t="s">
        <v>330</v>
      </c>
      <c r="J223" s="48" t="s">
        <v>1748</v>
      </c>
      <c r="K223" t="s">
        <v>20</v>
      </c>
      <c r="L223" t="s">
        <v>1749</v>
      </c>
      <c r="N223" s="48" t="s">
        <v>1750</v>
      </c>
      <c r="Q223" s="48" t="s">
        <v>1751</v>
      </c>
      <c r="S223" t="s">
        <v>1752</v>
      </c>
      <c r="T223" s="6" t="str">
        <f t="shared" si="21"/>
        <v>No Progress</v>
      </c>
      <c r="U223" s="48" t="s">
        <v>1753</v>
      </c>
      <c r="V223" t="str">
        <f t="shared" si="22"/>
        <v>www.f6s.com</v>
      </c>
      <c r="W223" s="48" t="s">
        <v>1754</v>
      </c>
      <c r="X223" t="str">
        <f t="shared" si="23"/>
        <v>Neutral</v>
      </c>
    </row>
    <row r="224" spans="1:24" x14ac:dyDescent="0.3">
      <c r="A224" s="6">
        <v>223</v>
      </c>
      <c r="B224" s="69">
        <v>43320</v>
      </c>
      <c r="C224" s="7" t="str">
        <f t="shared" si="18"/>
        <v>2018</v>
      </c>
      <c r="D224" s="7" t="str">
        <f t="shared" si="19"/>
        <v>Aug</v>
      </c>
      <c r="E224" s="69">
        <v>43322</v>
      </c>
      <c r="F224" s="7" t="str">
        <f t="shared" si="20"/>
        <v>Aug</v>
      </c>
      <c r="G224" s="65" t="s">
        <v>17</v>
      </c>
      <c r="H224" s="65" t="s">
        <v>1755</v>
      </c>
      <c r="I224" s="65" t="s">
        <v>1188</v>
      </c>
      <c r="J224" s="70" t="s">
        <v>1756</v>
      </c>
      <c r="K224" s="65" t="s">
        <v>20</v>
      </c>
      <c r="L224" s="65" t="s">
        <v>1757</v>
      </c>
      <c r="M224" s="65" t="s">
        <v>1758</v>
      </c>
      <c r="N224" s="70" t="s">
        <v>1759</v>
      </c>
      <c r="O224" s="65"/>
      <c r="P224" s="65"/>
      <c r="Q224" s="65"/>
      <c r="R224" s="65"/>
      <c r="S224" s="65" t="s">
        <v>1760</v>
      </c>
      <c r="T224" s="6" t="str">
        <f t="shared" si="21"/>
        <v>Hot</v>
      </c>
      <c r="U224" s="70" t="s">
        <v>1761</v>
      </c>
      <c r="V224" t="str">
        <f t="shared" si="22"/>
        <v>startupjobs.asia</v>
      </c>
      <c r="W224" s="70" t="s">
        <v>1762</v>
      </c>
      <c r="X224" t="str">
        <f t="shared" si="23"/>
        <v>Neutral</v>
      </c>
    </row>
    <row r="225" spans="1:24" x14ac:dyDescent="0.3">
      <c r="A225" s="6">
        <v>224</v>
      </c>
      <c r="B225" s="46">
        <v>43320</v>
      </c>
      <c r="C225" s="7" t="str">
        <f t="shared" si="18"/>
        <v>2018</v>
      </c>
      <c r="D225" s="7" t="str">
        <f t="shared" si="19"/>
        <v>Aug</v>
      </c>
      <c r="E225" s="46">
        <v>43321</v>
      </c>
      <c r="F225" s="7" t="str">
        <f t="shared" si="20"/>
        <v>Aug</v>
      </c>
      <c r="G225" t="s">
        <v>1656</v>
      </c>
      <c r="H225" t="s">
        <v>1763</v>
      </c>
      <c r="I225" t="s">
        <v>1188</v>
      </c>
      <c r="J225" s="48" t="s">
        <v>1764</v>
      </c>
      <c r="K225" t="s">
        <v>20</v>
      </c>
      <c r="L225" t="s">
        <v>1765</v>
      </c>
      <c r="M225" t="s">
        <v>1766</v>
      </c>
      <c r="N225" s="48" t="s">
        <v>1767</v>
      </c>
      <c r="Q225" s="48" t="s">
        <v>1768</v>
      </c>
      <c r="S225" t="s">
        <v>1769</v>
      </c>
      <c r="T225" s="6" t="str">
        <f t="shared" si="21"/>
        <v>No Progress</v>
      </c>
      <c r="U225" s="48" t="s">
        <v>1770</v>
      </c>
      <c r="V225" t="str">
        <f t="shared" si="22"/>
        <v>www.f6s.com</v>
      </c>
      <c r="W225" s="48" t="s">
        <v>1771</v>
      </c>
      <c r="X225" t="str">
        <f t="shared" si="23"/>
        <v>Negative</v>
      </c>
    </row>
    <row r="226" spans="1:24" x14ac:dyDescent="0.3">
      <c r="A226" s="6">
        <v>225</v>
      </c>
      <c r="B226" s="46">
        <v>43320</v>
      </c>
      <c r="C226" s="7" t="str">
        <f t="shared" si="18"/>
        <v>2018</v>
      </c>
      <c r="D226" s="7" t="str">
        <f t="shared" si="19"/>
        <v>Aug</v>
      </c>
      <c r="E226" s="46">
        <v>43321</v>
      </c>
      <c r="F226" s="7" t="str">
        <f t="shared" si="20"/>
        <v>Aug</v>
      </c>
      <c r="G226" t="s">
        <v>1656</v>
      </c>
      <c r="H226" t="s">
        <v>1772</v>
      </c>
      <c r="I226" t="s">
        <v>1188</v>
      </c>
      <c r="J226" s="48" t="s">
        <v>1773</v>
      </c>
      <c r="K226" t="s">
        <v>20</v>
      </c>
      <c r="L226" t="s">
        <v>1774</v>
      </c>
      <c r="M226" t="s">
        <v>1775</v>
      </c>
      <c r="N226" s="48" t="s">
        <v>1776</v>
      </c>
      <c r="Q226" s="48" t="s">
        <v>1777</v>
      </c>
      <c r="S226" t="s">
        <v>1769</v>
      </c>
      <c r="T226" s="6" t="str">
        <f t="shared" si="21"/>
        <v>No Progress</v>
      </c>
      <c r="U226" s="48" t="s">
        <v>1778</v>
      </c>
      <c r="V226" t="str">
        <f t="shared" si="22"/>
        <v>www.f6s.com</v>
      </c>
      <c r="W226" s="48" t="s">
        <v>1779</v>
      </c>
      <c r="X226" t="str">
        <f t="shared" si="23"/>
        <v>Negative</v>
      </c>
    </row>
    <row r="227" spans="1:24" x14ac:dyDescent="0.3">
      <c r="A227" s="6">
        <v>226</v>
      </c>
      <c r="B227" s="46">
        <v>43320</v>
      </c>
      <c r="C227" s="7" t="str">
        <f t="shared" si="18"/>
        <v>2018</v>
      </c>
      <c r="D227" s="7" t="str">
        <f t="shared" si="19"/>
        <v>Aug</v>
      </c>
      <c r="E227" s="46">
        <v>43320</v>
      </c>
      <c r="F227" s="7" t="str">
        <f t="shared" si="20"/>
        <v>Aug</v>
      </c>
      <c r="G227" t="s">
        <v>553</v>
      </c>
      <c r="H227" t="s">
        <v>1780</v>
      </c>
      <c r="K227" t="s">
        <v>20</v>
      </c>
      <c r="L227" t="s">
        <v>1781</v>
      </c>
      <c r="S227" t="s">
        <v>1782</v>
      </c>
      <c r="T227" s="6" t="str">
        <f t="shared" si="21"/>
        <v>No Progress</v>
      </c>
      <c r="U227" s="48" t="s">
        <v>1783</v>
      </c>
      <c r="V227" t="str">
        <f t="shared" si="22"/>
        <v>www.f6s.com</v>
      </c>
      <c r="W227" s="48" t="s">
        <v>1784</v>
      </c>
      <c r="X227" t="str">
        <f t="shared" si="23"/>
        <v>Neutral</v>
      </c>
    </row>
    <row r="228" spans="1:24" x14ac:dyDescent="0.3">
      <c r="A228" s="6">
        <v>227</v>
      </c>
      <c r="B228" s="46">
        <v>43320</v>
      </c>
      <c r="C228" s="7" t="str">
        <f t="shared" si="18"/>
        <v>2018</v>
      </c>
      <c r="D228" s="7" t="str">
        <f t="shared" si="19"/>
        <v>Aug</v>
      </c>
      <c r="E228" s="46">
        <v>43322</v>
      </c>
      <c r="F228" s="7" t="str">
        <f t="shared" si="20"/>
        <v>Aug</v>
      </c>
      <c r="G228" t="s">
        <v>490</v>
      </c>
      <c r="H228" t="s">
        <v>1785</v>
      </c>
      <c r="I228" t="s">
        <v>1003</v>
      </c>
      <c r="J228" s="48" t="s">
        <v>1786</v>
      </c>
      <c r="K228" t="s">
        <v>20</v>
      </c>
      <c r="L228" t="s">
        <v>1787</v>
      </c>
      <c r="N228" t="s">
        <v>1788</v>
      </c>
      <c r="Q228" s="48" t="s">
        <v>1789</v>
      </c>
      <c r="S228" t="s">
        <v>1790</v>
      </c>
      <c r="T228" s="6" t="str">
        <f t="shared" si="21"/>
        <v>No Progress</v>
      </c>
      <c r="U228" s="48" t="s">
        <v>1791</v>
      </c>
      <c r="V228" t="str">
        <f t="shared" si="22"/>
        <v>www.f6s.com</v>
      </c>
      <c r="W228" s="48" t="s">
        <v>1792</v>
      </c>
      <c r="X228" t="str">
        <f t="shared" si="23"/>
        <v>Neutral</v>
      </c>
    </row>
    <row r="229" spans="1:24" x14ac:dyDescent="0.3">
      <c r="A229" s="6">
        <v>228</v>
      </c>
      <c r="B229" s="46">
        <v>43320</v>
      </c>
      <c r="C229" s="7" t="str">
        <f t="shared" si="18"/>
        <v>2018</v>
      </c>
      <c r="D229" s="7" t="str">
        <f t="shared" si="19"/>
        <v>Aug</v>
      </c>
      <c r="E229" s="46">
        <v>43320</v>
      </c>
      <c r="F229" s="7" t="str">
        <f t="shared" si="20"/>
        <v>Aug</v>
      </c>
      <c r="G229" t="s">
        <v>1793</v>
      </c>
      <c r="H229" s="47" t="s">
        <v>1794</v>
      </c>
      <c r="I229" t="s">
        <v>1795</v>
      </c>
      <c r="J229" s="48" t="s">
        <v>1796</v>
      </c>
      <c r="K229" t="s">
        <v>20</v>
      </c>
      <c r="L229" t="s">
        <v>1797</v>
      </c>
      <c r="M229" t="s">
        <v>1798</v>
      </c>
      <c r="N229" s="48" t="s">
        <v>1799</v>
      </c>
      <c r="S229" t="s">
        <v>1800</v>
      </c>
      <c r="T229" s="6" t="str">
        <f t="shared" si="21"/>
        <v>No Progress</v>
      </c>
      <c r="U229" s="48" t="s">
        <v>1801</v>
      </c>
      <c r="V229" t="str">
        <f t="shared" si="22"/>
        <v>www.f6s.com</v>
      </c>
      <c r="W229" s="48" t="s">
        <v>1802</v>
      </c>
      <c r="X229" t="str">
        <f t="shared" si="23"/>
        <v>Neutral</v>
      </c>
    </row>
    <row r="230" spans="1:24" x14ac:dyDescent="0.3">
      <c r="A230" s="6">
        <v>229</v>
      </c>
      <c r="B230" s="46">
        <v>43320</v>
      </c>
      <c r="C230" s="7" t="str">
        <f t="shared" si="18"/>
        <v>2018</v>
      </c>
      <c r="D230" s="7" t="str">
        <f t="shared" si="19"/>
        <v>Aug</v>
      </c>
      <c r="E230" s="46">
        <v>43322</v>
      </c>
      <c r="F230" s="7" t="str">
        <f t="shared" si="20"/>
        <v>Aug</v>
      </c>
      <c r="G230" t="s">
        <v>605</v>
      </c>
      <c r="H230" t="s">
        <v>1803</v>
      </c>
      <c r="I230" t="s">
        <v>204</v>
      </c>
      <c r="J230" s="48" t="s">
        <v>1804</v>
      </c>
      <c r="K230" t="s">
        <v>20</v>
      </c>
      <c r="L230" t="s">
        <v>1805</v>
      </c>
      <c r="N230" s="48" t="s">
        <v>1806</v>
      </c>
      <c r="S230" t="s">
        <v>1790</v>
      </c>
      <c r="T230" s="6" t="str">
        <f t="shared" si="21"/>
        <v>No Progress</v>
      </c>
      <c r="U230" s="48" t="s">
        <v>1807</v>
      </c>
      <c r="V230" t="str">
        <f t="shared" si="22"/>
        <v>angel.co</v>
      </c>
      <c r="W230" s="48" t="s">
        <v>1808</v>
      </c>
      <c r="X230" t="str">
        <f t="shared" si="23"/>
        <v>Neutral</v>
      </c>
    </row>
    <row r="231" spans="1:24" ht="28.8" x14ac:dyDescent="0.3">
      <c r="A231" s="6">
        <v>230</v>
      </c>
      <c r="B231" s="50">
        <v>43320</v>
      </c>
      <c r="C231" s="7" t="str">
        <f t="shared" si="18"/>
        <v>2018</v>
      </c>
      <c r="D231" s="7" t="str">
        <f t="shared" si="19"/>
        <v>Aug</v>
      </c>
      <c r="E231" s="50">
        <v>43322</v>
      </c>
      <c r="F231" s="7" t="str">
        <f t="shared" si="20"/>
        <v>Aug</v>
      </c>
      <c r="G231" s="49" t="s">
        <v>17</v>
      </c>
      <c r="H231" s="49" t="s">
        <v>1809</v>
      </c>
      <c r="I231" s="49" t="s">
        <v>1188</v>
      </c>
      <c r="J231" s="51" t="s">
        <v>1810</v>
      </c>
      <c r="K231" s="49" t="s">
        <v>20</v>
      </c>
      <c r="L231" s="71" t="s">
        <v>1811</v>
      </c>
      <c r="M231" s="49" t="s">
        <v>1812</v>
      </c>
      <c r="N231" s="51" t="s">
        <v>1813</v>
      </c>
      <c r="O231" s="49"/>
      <c r="P231" s="49"/>
      <c r="Q231" s="49"/>
      <c r="R231" s="49"/>
      <c r="S231" s="49" t="s">
        <v>1814</v>
      </c>
      <c r="T231" s="6" t="str">
        <f t="shared" si="21"/>
        <v>Warm</v>
      </c>
      <c r="U231" s="51" t="s">
        <v>1815</v>
      </c>
      <c r="V231" t="str">
        <f t="shared" si="22"/>
        <v>angel.co</v>
      </c>
      <c r="W231" s="51" t="s">
        <v>1816</v>
      </c>
      <c r="X231" t="str">
        <f t="shared" si="23"/>
        <v>Negative</v>
      </c>
    </row>
    <row r="232" spans="1:24" x14ac:dyDescent="0.3">
      <c r="A232" s="6">
        <v>231</v>
      </c>
      <c r="B232" s="46">
        <v>43321</v>
      </c>
      <c r="C232" s="7" t="str">
        <f t="shared" si="18"/>
        <v>2018</v>
      </c>
      <c r="D232" s="7" t="str">
        <f t="shared" si="19"/>
        <v>Aug</v>
      </c>
      <c r="E232" s="46">
        <v>43321</v>
      </c>
      <c r="F232" s="7" t="str">
        <f t="shared" si="20"/>
        <v>Aug</v>
      </c>
      <c r="G232" t="s">
        <v>659</v>
      </c>
      <c r="H232" t="s">
        <v>1817</v>
      </c>
      <c r="I232" t="s">
        <v>1188</v>
      </c>
      <c r="J232" s="48" t="s">
        <v>1818</v>
      </c>
      <c r="K232" t="s">
        <v>20</v>
      </c>
      <c r="L232" t="s">
        <v>1819</v>
      </c>
      <c r="S232" t="s">
        <v>1820</v>
      </c>
      <c r="T232" s="6" t="str">
        <f t="shared" si="21"/>
        <v>No Progress</v>
      </c>
      <c r="U232" s="48" t="s">
        <v>1821</v>
      </c>
      <c r="V232" t="str">
        <f t="shared" si="22"/>
        <v>www.f6s.com</v>
      </c>
      <c r="W232" s="48" t="s">
        <v>1822</v>
      </c>
      <c r="X232" t="str">
        <f t="shared" si="23"/>
        <v>Neutral</v>
      </c>
    </row>
    <row r="233" spans="1:24" x14ac:dyDescent="0.3">
      <c r="A233" s="6">
        <v>232</v>
      </c>
      <c r="B233" s="50">
        <v>43321</v>
      </c>
      <c r="C233" s="7" t="str">
        <f t="shared" si="18"/>
        <v>2018</v>
      </c>
      <c r="D233" s="7" t="str">
        <f t="shared" si="19"/>
        <v>Aug</v>
      </c>
      <c r="E233" s="50">
        <v>43321</v>
      </c>
      <c r="F233" s="7" t="str">
        <f t="shared" si="20"/>
        <v>Aug</v>
      </c>
      <c r="G233" s="49" t="s">
        <v>712</v>
      </c>
      <c r="H233" s="49" t="s">
        <v>1823</v>
      </c>
      <c r="I233" s="49" t="s">
        <v>1616</v>
      </c>
      <c r="J233" s="51" t="s">
        <v>1824</v>
      </c>
      <c r="K233" s="49" t="s">
        <v>20</v>
      </c>
      <c r="L233" s="49" t="s">
        <v>1825</v>
      </c>
      <c r="M233" s="49"/>
      <c r="N233" s="49" t="s">
        <v>1826</v>
      </c>
      <c r="O233" s="49"/>
      <c r="P233" s="49"/>
      <c r="Q233" s="51" t="s">
        <v>1827</v>
      </c>
      <c r="R233" s="49"/>
      <c r="S233" s="49" t="s">
        <v>1828</v>
      </c>
      <c r="T233" s="6" t="str">
        <f t="shared" si="21"/>
        <v>Warm</v>
      </c>
      <c r="U233" s="51" t="s">
        <v>1829</v>
      </c>
      <c r="V233" t="str">
        <f t="shared" si="22"/>
        <v>www.f6s.com</v>
      </c>
      <c r="W233" s="51" t="s">
        <v>1830</v>
      </c>
      <c r="X233" t="str">
        <f t="shared" si="23"/>
        <v>Neutral</v>
      </c>
    </row>
    <row r="234" spans="1:24" x14ac:dyDescent="0.3">
      <c r="A234" s="6">
        <v>233</v>
      </c>
      <c r="B234" s="46">
        <v>43321</v>
      </c>
      <c r="C234" s="7" t="str">
        <f t="shared" si="18"/>
        <v>2018</v>
      </c>
      <c r="D234" s="7" t="str">
        <f t="shared" si="19"/>
        <v>Aug</v>
      </c>
      <c r="E234" s="46">
        <v>43322</v>
      </c>
      <c r="F234" s="7" t="str">
        <f t="shared" si="20"/>
        <v>Aug</v>
      </c>
      <c r="G234" t="s">
        <v>748</v>
      </c>
      <c r="H234" t="s">
        <v>1831</v>
      </c>
      <c r="I234" t="s">
        <v>119</v>
      </c>
      <c r="J234" s="48" t="s">
        <v>1832</v>
      </c>
      <c r="K234" t="s">
        <v>20</v>
      </c>
      <c r="L234" t="s">
        <v>1833</v>
      </c>
      <c r="Q234" s="48" t="s">
        <v>1834</v>
      </c>
      <c r="S234" t="s">
        <v>1835</v>
      </c>
      <c r="T234" s="6" t="str">
        <f t="shared" si="21"/>
        <v>No Progress</v>
      </c>
      <c r="U234" s="48" t="s">
        <v>1836</v>
      </c>
      <c r="V234" t="str">
        <f t="shared" si="22"/>
        <v>www.f6s.com</v>
      </c>
      <c r="W234" s="48" t="s">
        <v>1837</v>
      </c>
      <c r="X234" t="str">
        <f t="shared" si="23"/>
        <v>Neutral</v>
      </c>
    </row>
    <row r="235" spans="1:24" ht="28.8" x14ac:dyDescent="0.3">
      <c r="A235" s="6">
        <v>234</v>
      </c>
      <c r="B235" s="50">
        <v>43321</v>
      </c>
      <c r="C235" s="7" t="str">
        <f t="shared" si="18"/>
        <v>2018</v>
      </c>
      <c r="D235" s="7" t="str">
        <f t="shared" si="19"/>
        <v>Aug</v>
      </c>
      <c r="E235" s="50">
        <v>43321</v>
      </c>
      <c r="F235" s="7" t="str">
        <f t="shared" si="20"/>
        <v>Aug</v>
      </c>
      <c r="G235" s="49" t="s">
        <v>490</v>
      </c>
      <c r="H235" s="71" t="s">
        <v>1838</v>
      </c>
      <c r="I235" s="49" t="s">
        <v>436</v>
      </c>
      <c r="J235" s="51" t="s">
        <v>1839</v>
      </c>
      <c r="K235" s="49" t="s">
        <v>20</v>
      </c>
      <c r="L235" s="49" t="s">
        <v>1840</v>
      </c>
      <c r="M235" s="49"/>
      <c r="N235" s="49"/>
      <c r="O235" s="49"/>
      <c r="P235" s="49"/>
      <c r="Q235" s="49"/>
      <c r="R235" s="49"/>
      <c r="S235" s="49" t="s">
        <v>1841</v>
      </c>
      <c r="T235" s="6" t="str">
        <f t="shared" si="21"/>
        <v>Warm</v>
      </c>
      <c r="U235" s="51" t="s">
        <v>1842</v>
      </c>
      <c r="V235" t="str">
        <f t="shared" si="22"/>
        <v>angel.co</v>
      </c>
      <c r="W235" s="51" t="s">
        <v>1843</v>
      </c>
      <c r="X235" t="str">
        <f t="shared" si="23"/>
        <v>Neutral</v>
      </c>
    </row>
    <row r="236" spans="1:24" x14ac:dyDescent="0.3">
      <c r="A236" s="6">
        <v>235</v>
      </c>
      <c r="B236" s="46">
        <v>43321</v>
      </c>
      <c r="C236" s="7" t="str">
        <f t="shared" si="18"/>
        <v>2018</v>
      </c>
      <c r="D236" s="7" t="str">
        <f t="shared" si="19"/>
        <v>Aug</v>
      </c>
      <c r="E236" s="46">
        <v>43321</v>
      </c>
      <c r="F236" s="7" t="str">
        <f t="shared" si="20"/>
        <v>Aug</v>
      </c>
      <c r="G236" t="s">
        <v>659</v>
      </c>
      <c r="H236" t="s">
        <v>1844</v>
      </c>
      <c r="I236" t="s">
        <v>1188</v>
      </c>
      <c r="J236" s="48" t="s">
        <v>1845</v>
      </c>
      <c r="K236" t="s">
        <v>20</v>
      </c>
      <c r="L236" t="s">
        <v>1846</v>
      </c>
      <c r="N236" t="s">
        <v>1847</v>
      </c>
      <c r="Q236" s="48" t="s">
        <v>1848</v>
      </c>
      <c r="S236" t="s">
        <v>1849</v>
      </c>
      <c r="T236" s="6" t="str">
        <f t="shared" si="21"/>
        <v>No Progress</v>
      </c>
      <c r="U236" s="48" t="s">
        <v>1850</v>
      </c>
      <c r="V236" t="str">
        <f t="shared" si="22"/>
        <v>angel.co</v>
      </c>
      <c r="W236" s="48" t="s">
        <v>1851</v>
      </c>
      <c r="X236" t="str">
        <f t="shared" si="23"/>
        <v>Neutral</v>
      </c>
    </row>
    <row r="237" spans="1:24" x14ac:dyDescent="0.3">
      <c r="A237" s="6">
        <v>236</v>
      </c>
      <c r="B237" s="46">
        <v>43321</v>
      </c>
      <c r="C237" s="7" t="str">
        <f t="shared" si="18"/>
        <v>2018</v>
      </c>
      <c r="D237" s="7" t="str">
        <f t="shared" si="19"/>
        <v>Aug</v>
      </c>
      <c r="E237" s="46">
        <v>43322</v>
      </c>
      <c r="F237" s="7" t="str">
        <f t="shared" si="20"/>
        <v>Aug</v>
      </c>
      <c r="G237" t="s">
        <v>490</v>
      </c>
      <c r="H237" t="s">
        <v>1852</v>
      </c>
      <c r="I237" t="s">
        <v>388</v>
      </c>
      <c r="J237" s="48" t="s">
        <v>1853</v>
      </c>
      <c r="K237" t="s">
        <v>20</v>
      </c>
      <c r="L237" t="s">
        <v>1854</v>
      </c>
      <c r="M237" t="s">
        <v>1855</v>
      </c>
      <c r="N237" s="48" t="s">
        <v>1856</v>
      </c>
      <c r="Q237" s="48" t="s">
        <v>1857</v>
      </c>
      <c r="S237" t="s">
        <v>1858</v>
      </c>
      <c r="T237" s="6" t="str">
        <f t="shared" si="21"/>
        <v>No Progress</v>
      </c>
      <c r="U237" s="48" t="s">
        <v>1859</v>
      </c>
      <c r="V237" t="str">
        <f t="shared" si="22"/>
        <v>angel.co</v>
      </c>
      <c r="W237" s="48" t="s">
        <v>1860</v>
      </c>
      <c r="X237" t="str">
        <f t="shared" si="23"/>
        <v>Negative</v>
      </c>
    </row>
    <row r="238" spans="1:24" x14ac:dyDescent="0.3">
      <c r="A238" s="6">
        <v>237</v>
      </c>
      <c r="B238" s="69">
        <v>43321</v>
      </c>
      <c r="C238" s="7" t="str">
        <f t="shared" si="18"/>
        <v>2018</v>
      </c>
      <c r="D238" s="7" t="str">
        <f t="shared" si="19"/>
        <v>Aug</v>
      </c>
      <c r="E238" s="69">
        <v>43356</v>
      </c>
      <c r="F238" s="7" t="str">
        <f t="shared" si="20"/>
        <v>Sep</v>
      </c>
      <c r="G238" s="65" t="s">
        <v>191</v>
      </c>
      <c r="H238" s="65" t="s">
        <v>1861</v>
      </c>
      <c r="I238" s="65" t="s">
        <v>1862</v>
      </c>
      <c r="J238" s="65"/>
      <c r="K238" s="65" t="s">
        <v>20</v>
      </c>
      <c r="L238" s="65" t="s">
        <v>1863</v>
      </c>
      <c r="M238" s="65"/>
      <c r="N238" s="70" t="s">
        <v>1864</v>
      </c>
      <c r="O238" s="65"/>
      <c r="P238" s="65"/>
      <c r="Q238" s="65"/>
      <c r="R238" s="65"/>
      <c r="S238" s="65" t="s">
        <v>1820</v>
      </c>
      <c r="T238" s="6" t="str">
        <f t="shared" si="21"/>
        <v>Hot</v>
      </c>
      <c r="U238" s="70" t="s">
        <v>1865</v>
      </c>
      <c r="V238" t="str">
        <f t="shared" si="22"/>
        <v>angel.co</v>
      </c>
      <c r="W238" s="70" t="s">
        <v>1866</v>
      </c>
      <c r="X238" t="str">
        <f t="shared" si="23"/>
        <v>Neutral</v>
      </c>
    </row>
    <row r="239" spans="1:24" x14ac:dyDescent="0.3">
      <c r="A239" s="6">
        <v>238</v>
      </c>
      <c r="B239" s="46">
        <v>43321</v>
      </c>
      <c r="C239" s="7" t="str">
        <f t="shared" si="18"/>
        <v>2018</v>
      </c>
      <c r="D239" s="7" t="str">
        <f t="shared" si="19"/>
        <v>Aug</v>
      </c>
      <c r="E239" s="46">
        <v>43321</v>
      </c>
      <c r="F239" s="7" t="str">
        <f t="shared" si="20"/>
        <v>Aug</v>
      </c>
      <c r="G239" t="s">
        <v>191</v>
      </c>
      <c r="H239" t="s">
        <v>1867</v>
      </c>
      <c r="I239" t="s">
        <v>175</v>
      </c>
      <c r="J239" s="48" t="s">
        <v>1868</v>
      </c>
      <c r="K239" t="s">
        <v>20</v>
      </c>
      <c r="L239" t="s">
        <v>1869</v>
      </c>
      <c r="N239" s="48" t="s">
        <v>1870</v>
      </c>
      <c r="R239" s="48" t="s">
        <v>1871</v>
      </c>
      <c r="S239" t="s">
        <v>1849</v>
      </c>
      <c r="T239" s="6" t="str">
        <f t="shared" si="21"/>
        <v>No Progress</v>
      </c>
      <c r="U239" s="48" t="s">
        <v>1872</v>
      </c>
      <c r="V239" t="str">
        <f t="shared" si="22"/>
        <v>angel.co</v>
      </c>
      <c r="W239" s="48" t="s">
        <v>1873</v>
      </c>
      <c r="X239" t="str">
        <f t="shared" si="23"/>
        <v>Neutral</v>
      </c>
    </row>
    <row r="240" spans="1:24" x14ac:dyDescent="0.3">
      <c r="A240" s="6">
        <v>239</v>
      </c>
      <c r="B240" s="69">
        <v>43321</v>
      </c>
      <c r="C240" s="7" t="str">
        <f t="shared" si="18"/>
        <v>2018</v>
      </c>
      <c r="D240" s="7" t="str">
        <f t="shared" si="19"/>
        <v>Aug</v>
      </c>
      <c r="E240" s="69">
        <v>43322</v>
      </c>
      <c r="F240" s="7" t="str">
        <f t="shared" si="20"/>
        <v>Aug</v>
      </c>
      <c r="G240" s="65" t="s">
        <v>32</v>
      </c>
      <c r="H240" s="65" t="s">
        <v>1874</v>
      </c>
      <c r="I240" s="65" t="s">
        <v>105</v>
      </c>
      <c r="J240" s="70" t="s">
        <v>1875</v>
      </c>
      <c r="K240" s="65" t="s">
        <v>20</v>
      </c>
      <c r="L240" s="65" t="s">
        <v>1876</v>
      </c>
      <c r="M240" s="65"/>
      <c r="N240" s="70" t="s">
        <v>1877</v>
      </c>
      <c r="O240" s="65"/>
      <c r="P240" s="70" t="s">
        <v>1878</v>
      </c>
      <c r="Q240" s="65"/>
      <c r="R240" s="70" t="s">
        <v>1879</v>
      </c>
      <c r="S240" s="65" t="s">
        <v>1880</v>
      </c>
      <c r="T240" s="6" t="str">
        <f t="shared" si="21"/>
        <v>Hot</v>
      </c>
      <c r="U240" s="70" t="s">
        <v>1881</v>
      </c>
      <c r="V240" t="str">
        <f t="shared" si="22"/>
        <v>angel.co</v>
      </c>
      <c r="W240" s="70" t="s">
        <v>1882</v>
      </c>
      <c r="X240" t="str">
        <f t="shared" si="23"/>
        <v>Neutral</v>
      </c>
    </row>
    <row r="241" spans="1:24" ht="43.2" x14ac:dyDescent="0.3">
      <c r="A241" s="6">
        <v>240</v>
      </c>
      <c r="B241" s="46">
        <v>43321</v>
      </c>
      <c r="C241" s="7" t="str">
        <f t="shared" si="18"/>
        <v>2018</v>
      </c>
      <c r="D241" s="7" t="str">
        <f t="shared" si="19"/>
        <v>Aug</v>
      </c>
      <c r="E241" s="46">
        <v>43322</v>
      </c>
      <c r="F241" s="7" t="str">
        <f t="shared" si="20"/>
        <v>Aug</v>
      </c>
      <c r="G241" t="s">
        <v>93</v>
      </c>
      <c r="H241" t="s">
        <v>1883</v>
      </c>
      <c r="I241" t="s">
        <v>1188</v>
      </c>
      <c r="J241" s="48" t="s">
        <v>1884</v>
      </c>
      <c r="K241" t="s">
        <v>20</v>
      </c>
      <c r="L241" t="s">
        <v>1885</v>
      </c>
      <c r="M241" t="s">
        <v>1886</v>
      </c>
      <c r="N241" s="52" t="s">
        <v>1887</v>
      </c>
      <c r="Q241" s="48" t="s">
        <v>1888</v>
      </c>
      <c r="S241" t="s">
        <v>1858</v>
      </c>
      <c r="T241" s="6" t="str">
        <f t="shared" si="21"/>
        <v>No Progress</v>
      </c>
      <c r="U241" s="48" t="s">
        <v>1889</v>
      </c>
      <c r="V241" t="str">
        <f t="shared" si="22"/>
        <v>angel.co</v>
      </c>
      <c r="W241" s="48" t="s">
        <v>1890</v>
      </c>
      <c r="X241" t="str">
        <f t="shared" si="23"/>
        <v>Negative</v>
      </c>
    </row>
    <row r="242" spans="1:24" x14ac:dyDescent="0.3">
      <c r="A242" s="6">
        <v>241</v>
      </c>
      <c r="B242" s="45">
        <v>43322</v>
      </c>
      <c r="C242" s="7" t="str">
        <f t="shared" si="18"/>
        <v>2018</v>
      </c>
      <c r="D242" s="7" t="str">
        <f t="shared" si="19"/>
        <v>Aug</v>
      </c>
      <c r="E242" s="45">
        <v>43322</v>
      </c>
      <c r="F242" s="7" t="str">
        <f t="shared" si="20"/>
        <v>Aug</v>
      </c>
      <c r="G242" s="37" t="s">
        <v>17</v>
      </c>
      <c r="H242" s="37" t="s">
        <v>1891</v>
      </c>
      <c r="I242" s="37" t="s">
        <v>1188</v>
      </c>
      <c r="J242" s="43" t="s">
        <v>1892</v>
      </c>
      <c r="K242" s="37" t="s">
        <v>302</v>
      </c>
      <c r="L242" s="37" t="s">
        <v>1893</v>
      </c>
      <c r="M242" s="37"/>
      <c r="N242" s="43" t="s">
        <v>1894</v>
      </c>
      <c r="O242" s="37"/>
      <c r="P242" s="37"/>
      <c r="Q242" s="37"/>
      <c r="R242" s="37"/>
      <c r="S242" s="37" t="s">
        <v>1895</v>
      </c>
      <c r="T242" s="6" t="str">
        <f t="shared" si="21"/>
        <v>Cold</v>
      </c>
      <c r="U242" s="43" t="s">
        <v>1896</v>
      </c>
      <c r="V242" t="str">
        <f t="shared" si="22"/>
        <v>startupjobs.asia</v>
      </c>
      <c r="W242" s="43" t="s">
        <v>1897</v>
      </c>
      <c r="X242" t="str">
        <f t="shared" si="23"/>
        <v>Negative</v>
      </c>
    </row>
    <row r="243" spans="1:24" x14ac:dyDescent="0.3">
      <c r="A243" s="6">
        <v>242</v>
      </c>
      <c r="B243" s="46">
        <v>43322</v>
      </c>
      <c r="C243" s="7" t="str">
        <f t="shared" si="18"/>
        <v>2018</v>
      </c>
      <c r="D243" s="7" t="str">
        <f t="shared" si="19"/>
        <v>Aug</v>
      </c>
      <c r="E243" s="46">
        <v>43322</v>
      </c>
      <c r="F243" s="7" t="str">
        <f t="shared" si="20"/>
        <v>Aug</v>
      </c>
      <c r="G243" t="s">
        <v>191</v>
      </c>
      <c r="H243" t="s">
        <v>1898</v>
      </c>
      <c r="I243" t="s">
        <v>175</v>
      </c>
      <c r="J243" s="48" t="s">
        <v>1899</v>
      </c>
      <c r="K243" t="s">
        <v>20</v>
      </c>
      <c r="L243" t="s">
        <v>1900</v>
      </c>
      <c r="M243" t="s">
        <v>1901</v>
      </c>
      <c r="N243" s="48" t="s">
        <v>1902</v>
      </c>
      <c r="Q243" s="48" t="s">
        <v>1903</v>
      </c>
      <c r="S243" t="s">
        <v>1904</v>
      </c>
      <c r="T243" s="6" t="str">
        <f t="shared" si="21"/>
        <v>No Progress</v>
      </c>
      <c r="U243" s="48" t="s">
        <v>1905</v>
      </c>
      <c r="V243" t="str">
        <f t="shared" si="22"/>
        <v>angel.co</v>
      </c>
      <c r="W243" s="48" t="s">
        <v>1906</v>
      </c>
      <c r="X243" t="str">
        <f t="shared" si="23"/>
        <v>Neutral</v>
      </c>
    </row>
    <row r="244" spans="1:24" x14ac:dyDescent="0.3">
      <c r="A244" s="6">
        <v>243</v>
      </c>
      <c r="B244" s="46">
        <v>43322</v>
      </c>
      <c r="C244" s="7" t="str">
        <f t="shared" si="18"/>
        <v>2018</v>
      </c>
      <c r="D244" s="7" t="str">
        <f t="shared" si="19"/>
        <v>Aug</v>
      </c>
      <c r="E244" s="46">
        <v>43322</v>
      </c>
      <c r="F244" s="7" t="str">
        <f t="shared" si="20"/>
        <v>Aug</v>
      </c>
      <c r="G244" t="s">
        <v>191</v>
      </c>
      <c r="H244" t="s">
        <v>1907</v>
      </c>
      <c r="I244" t="s">
        <v>347</v>
      </c>
      <c r="J244" s="48" t="s">
        <v>1908</v>
      </c>
      <c r="K244" t="s">
        <v>20</v>
      </c>
      <c r="L244" t="s">
        <v>1909</v>
      </c>
      <c r="M244" t="s">
        <v>1910</v>
      </c>
      <c r="N244" s="48" t="s">
        <v>1911</v>
      </c>
      <c r="S244" t="s">
        <v>1904</v>
      </c>
      <c r="T244" s="6" t="str">
        <f t="shared" si="21"/>
        <v>No Progress</v>
      </c>
      <c r="U244" s="48" t="s">
        <v>1912</v>
      </c>
      <c r="V244" t="str">
        <f t="shared" si="22"/>
        <v>angel.co</v>
      </c>
      <c r="W244" s="48" t="s">
        <v>1913</v>
      </c>
      <c r="X244" t="str">
        <f t="shared" si="23"/>
        <v>Neutral</v>
      </c>
    </row>
    <row r="245" spans="1:24" x14ac:dyDescent="0.3">
      <c r="A245" s="6">
        <v>244</v>
      </c>
      <c r="B245" s="50">
        <v>43322</v>
      </c>
      <c r="C245" s="7" t="str">
        <f t="shared" si="18"/>
        <v>2018</v>
      </c>
      <c r="D245" s="7" t="str">
        <f t="shared" si="19"/>
        <v>Aug</v>
      </c>
      <c r="E245" s="50">
        <v>43322</v>
      </c>
      <c r="F245" s="7" t="str">
        <f t="shared" si="20"/>
        <v>Aug</v>
      </c>
      <c r="G245" s="49" t="s">
        <v>643</v>
      </c>
      <c r="H245" s="49" t="s">
        <v>1914</v>
      </c>
      <c r="I245" s="49" t="s">
        <v>1188</v>
      </c>
      <c r="J245" s="51" t="s">
        <v>1915</v>
      </c>
      <c r="K245" s="49" t="s">
        <v>20</v>
      </c>
      <c r="L245" s="49" t="s">
        <v>1916</v>
      </c>
      <c r="M245" s="49" t="s">
        <v>1917</v>
      </c>
      <c r="N245" s="51" t="s">
        <v>1918</v>
      </c>
      <c r="O245" s="49"/>
      <c r="P245" s="49"/>
      <c r="Q245" s="51" t="s">
        <v>1919</v>
      </c>
      <c r="R245" s="49"/>
      <c r="S245" s="49" t="s">
        <v>1920</v>
      </c>
      <c r="T245" s="6" t="str">
        <f t="shared" si="21"/>
        <v>Warm</v>
      </c>
      <c r="U245" s="51" t="s">
        <v>1921</v>
      </c>
      <c r="V245" t="str">
        <f t="shared" si="22"/>
        <v>angel.co</v>
      </c>
      <c r="W245" s="51" t="s">
        <v>1922</v>
      </c>
      <c r="X245" t="str">
        <f t="shared" si="23"/>
        <v>Neutral</v>
      </c>
    </row>
    <row r="246" spans="1:24" x14ac:dyDescent="0.3">
      <c r="A246" s="6">
        <v>245</v>
      </c>
      <c r="B246" s="46">
        <v>43322</v>
      </c>
      <c r="C246" s="7" t="str">
        <f t="shared" si="18"/>
        <v>2018</v>
      </c>
      <c r="D246" s="7" t="str">
        <f t="shared" si="19"/>
        <v>Aug</v>
      </c>
      <c r="E246" s="46">
        <v>43328</v>
      </c>
      <c r="F246" s="7" t="str">
        <f t="shared" si="20"/>
        <v>Aug</v>
      </c>
      <c r="G246" t="s">
        <v>490</v>
      </c>
      <c r="H246" s="47" t="s">
        <v>1923</v>
      </c>
      <c r="I246" t="s">
        <v>1188</v>
      </c>
      <c r="J246" s="48" t="s">
        <v>1924</v>
      </c>
      <c r="K246" t="s">
        <v>20</v>
      </c>
      <c r="L246" t="s">
        <v>1925</v>
      </c>
      <c r="M246" t="s">
        <v>1926</v>
      </c>
      <c r="N246" s="48" t="s">
        <v>1927</v>
      </c>
      <c r="P246" s="48" t="s">
        <v>1928</v>
      </c>
      <c r="Q246" s="48" t="s">
        <v>1929</v>
      </c>
      <c r="S246" t="s">
        <v>1930</v>
      </c>
      <c r="T246" s="6" t="str">
        <f t="shared" si="21"/>
        <v>No Progress</v>
      </c>
      <c r="U246" s="48" t="s">
        <v>1931</v>
      </c>
      <c r="V246" t="str">
        <f t="shared" si="22"/>
        <v>angel.co</v>
      </c>
      <c r="W246" s="48" t="s">
        <v>1932</v>
      </c>
      <c r="X246" t="str">
        <f t="shared" si="23"/>
        <v>Negative</v>
      </c>
    </row>
    <row r="247" spans="1:24" x14ac:dyDescent="0.3">
      <c r="A247" s="6">
        <v>246</v>
      </c>
      <c r="B247" s="46">
        <v>43322</v>
      </c>
      <c r="C247" s="7" t="str">
        <f t="shared" si="18"/>
        <v>2018</v>
      </c>
      <c r="D247" s="7" t="str">
        <f t="shared" si="19"/>
        <v>Aug</v>
      </c>
      <c r="E247" s="46">
        <v>43322</v>
      </c>
      <c r="F247" s="7" t="str">
        <f t="shared" si="20"/>
        <v>Aug</v>
      </c>
      <c r="G247" t="s">
        <v>490</v>
      </c>
      <c r="H247" t="s">
        <v>1933</v>
      </c>
      <c r="I247" t="s">
        <v>1934</v>
      </c>
      <c r="J247" s="48" t="s">
        <v>1935</v>
      </c>
      <c r="K247" t="s">
        <v>20</v>
      </c>
      <c r="L247" t="s">
        <v>1936</v>
      </c>
      <c r="N247" s="48" t="s">
        <v>1937</v>
      </c>
      <c r="S247" t="s">
        <v>1904</v>
      </c>
      <c r="T247" s="6" t="str">
        <f t="shared" si="21"/>
        <v>No Progress</v>
      </c>
      <c r="U247" s="48" t="s">
        <v>1938</v>
      </c>
      <c r="V247" t="str">
        <f t="shared" si="22"/>
        <v>angel.co</v>
      </c>
      <c r="W247" s="48" t="s">
        <v>1939</v>
      </c>
      <c r="X247" t="str">
        <f t="shared" si="23"/>
        <v>Neutral</v>
      </c>
    </row>
    <row r="248" spans="1:24" x14ac:dyDescent="0.3">
      <c r="A248" s="6">
        <v>247</v>
      </c>
      <c r="B248" s="46">
        <v>43322</v>
      </c>
      <c r="C248" s="7" t="str">
        <f t="shared" si="18"/>
        <v>2018</v>
      </c>
      <c r="D248" s="7" t="str">
        <f t="shared" si="19"/>
        <v>Aug</v>
      </c>
      <c r="E248" s="46">
        <v>43328</v>
      </c>
      <c r="F248" s="7" t="str">
        <f t="shared" si="20"/>
        <v>Aug</v>
      </c>
      <c r="G248" t="s">
        <v>1940</v>
      </c>
      <c r="H248" t="s">
        <v>1941</v>
      </c>
      <c r="I248" t="s">
        <v>1942</v>
      </c>
      <c r="J248" s="48" t="s">
        <v>1943</v>
      </c>
      <c r="K248" t="s">
        <v>20</v>
      </c>
      <c r="L248" t="s">
        <v>1944</v>
      </c>
      <c r="M248" t="s">
        <v>1945</v>
      </c>
      <c r="N248" s="48" t="s">
        <v>1946</v>
      </c>
      <c r="Q248" s="48" t="s">
        <v>1947</v>
      </c>
      <c r="S248" t="s">
        <v>1948</v>
      </c>
      <c r="T248" s="6" t="str">
        <f t="shared" si="21"/>
        <v>No Progress</v>
      </c>
      <c r="U248" s="48" t="s">
        <v>1949</v>
      </c>
      <c r="V248" t="str">
        <f t="shared" si="22"/>
        <v>angel.co</v>
      </c>
      <c r="W248" s="48" t="s">
        <v>1950</v>
      </c>
      <c r="X248" t="str">
        <f t="shared" si="23"/>
        <v>Negative</v>
      </c>
    </row>
    <row r="249" spans="1:24" x14ac:dyDescent="0.3">
      <c r="A249" s="6">
        <v>248</v>
      </c>
      <c r="B249" s="46">
        <v>43322</v>
      </c>
      <c r="C249" s="7" t="str">
        <f t="shared" si="18"/>
        <v>2018</v>
      </c>
      <c r="D249" s="7" t="str">
        <f t="shared" si="19"/>
        <v>Aug</v>
      </c>
      <c r="E249" s="46">
        <v>43322</v>
      </c>
      <c r="F249" s="7" t="str">
        <f t="shared" si="20"/>
        <v>Aug</v>
      </c>
      <c r="G249" t="s">
        <v>712</v>
      </c>
      <c r="H249" t="s">
        <v>1951</v>
      </c>
      <c r="I249" t="s">
        <v>204</v>
      </c>
      <c r="J249" s="48" t="s">
        <v>1952</v>
      </c>
      <c r="K249" t="s">
        <v>20</v>
      </c>
      <c r="L249" t="s">
        <v>1953</v>
      </c>
      <c r="N249" s="48" t="s">
        <v>1954</v>
      </c>
      <c r="Q249" s="48" t="s">
        <v>1955</v>
      </c>
      <c r="S249" t="s">
        <v>1904</v>
      </c>
      <c r="T249" s="6" t="str">
        <f t="shared" si="21"/>
        <v>No Progress</v>
      </c>
      <c r="U249" s="48" t="s">
        <v>1956</v>
      </c>
      <c r="V249" t="str">
        <f t="shared" si="22"/>
        <v>angel.co</v>
      </c>
      <c r="W249" s="48" t="s">
        <v>1957</v>
      </c>
      <c r="X249" t="str">
        <f t="shared" si="23"/>
        <v>Neutral</v>
      </c>
    </row>
    <row r="250" spans="1:24" x14ac:dyDescent="0.3">
      <c r="A250" s="6">
        <v>249</v>
      </c>
      <c r="B250" s="46">
        <v>43322</v>
      </c>
      <c r="C250" s="7" t="str">
        <f t="shared" si="18"/>
        <v>2018</v>
      </c>
      <c r="D250" s="7" t="str">
        <f t="shared" si="19"/>
        <v>Aug</v>
      </c>
      <c r="E250" s="46">
        <v>43322</v>
      </c>
      <c r="F250" s="7" t="str">
        <f t="shared" si="20"/>
        <v>Aug</v>
      </c>
      <c r="G250" t="s">
        <v>490</v>
      </c>
      <c r="H250" t="s">
        <v>1958</v>
      </c>
      <c r="I250" t="s">
        <v>1934</v>
      </c>
      <c r="J250" s="48" t="s">
        <v>1959</v>
      </c>
      <c r="K250" t="s">
        <v>20</v>
      </c>
      <c r="L250" t="s">
        <v>1960</v>
      </c>
      <c r="N250" s="48" t="s">
        <v>1961</v>
      </c>
      <c r="Q250" s="48" t="s">
        <v>1962</v>
      </c>
      <c r="S250" t="s">
        <v>1904</v>
      </c>
      <c r="T250" s="6" t="str">
        <f t="shared" si="21"/>
        <v>No Progress</v>
      </c>
      <c r="U250" s="48" t="s">
        <v>1963</v>
      </c>
      <c r="V250" t="str">
        <f t="shared" si="22"/>
        <v>angel.co</v>
      </c>
      <c r="W250" s="48" t="s">
        <v>1964</v>
      </c>
      <c r="X250" t="str">
        <f t="shared" si="23"/>
        <v>Neutral</v>
      </c>
    </row>
    <row r="251" spans="1:24" x14ac:dyDescent="0.3">
      <c r="A251" s="6">
        <v>250</v>
      </c>
      <c r="B251" s="46">
        <v>43322</v>
      </c>
      <c r="C251" s="7" t="str">
        <f t="shared" si="18"/>
        <v>2018</v>
      </c>
      <c r="D251" s="7" t="str">
        <f t="shared" si="19"/>
        <v>Aug</v>
      </c>
      <c r="E251" s="46">
        <v>43322</v>
      </c>
      <c r="F251" s="7" t="str">
        <f t="shared" si="20"/>
        <v>Aug</v>
      </c>
      <c r="G251" t="s">
        <v>76</v>
      </c>
      <c r="H251" t="s">
        <v>1965</v>
      </c>
      <c r="I251" t="s">
        <v>1188</v>
      </c>
      <c r="J251" s="48" t="s">
        <v>1966</v>
      </c>
      <c r="K251" t="s">
        <v>20</v>
      </c>
      <c r="L251" t="s">
        <v>1967</v>
      </c>
      <c r="N251" s="48" t="s">
        <v>1968</v>
      </c>
      <c r="Q251" s="48" t="s">
        <v>1969</v>
      </c>
      <c r="S251" t="s">
        <v>1904</v>
      </c>
      <c r="T251" s="6" t="str">
        <f t="shared" si="21"/>
        <v>No Progress</v>
      </c>
      <c r="U251" s="48" t="s">
        <v>1970</v>
      </c>
      <c r="V251" t="str">
        <f t="shared" si="22"/>
        <v>angel.co</v>
      </c>
      <c r="W251" s="48" t="s">
        <v>1971</v>
      </c>
      <c r="X251" t="str">
        <f t="shared" si="23"/>
        <v>Neutral</v>
      </c>
    </row>
    <row r="252" spans="1:24" x14ac:dyDescent="0.3">
      <c r="A252" s="6">
        <v>251</v>
      </c>
      <c r="B252" s="46">
        <v>43327</v>
      </c>
      <c r="C252" s="7" t="str">
        <f t="shared" si="18"/>
        <v>2018</v>
      </c>
      <c r="D252" s="7" t="str">
        <f t="shared" si="19"/>
        <v>Aug</v>
      </c>
      <c r="E252" s="46">
        <v>43327</v>
      </c>
      <c r="F252" s="7" t="str">
        <f t="shared" si="20"/>
        <v>Aug</v>
      </c>
      <c r="G252" t="s">
        <v>17</v>
      </c>
      <c r="H252" t="s">
        <v>1972</v>
      </c>
      <c r="I252" t="s">
        <v>291</v>
      </c>
      <c r="J252" s="48" t="s">
        <v>1973</v>
      </c>
      <c r="K252" t="s">
        <v>20</v>
      </c>
      <c r="L252" t="s">
        <v>1974</v>
      </c>
      <c r="N252" s="48" t="s">
        <v>1975</v>
      </c>
      <c r="Q252" s="48" t="s">
        <v>1976</v>
      </c>
      <c r="S252" t="s">
        <v>1977</v>
      </c>
      <c r="T252" s="6" t="str">
        <f t="shared" si="21"/>
        <v>No Progress</v>
      </c>
      <c r="U252" s="48" t="s">
        <v>1978</v>
      </c>
      <c r="V252" t="str">
        <f t="shared" si="22"/>
        <v>startupjobs.asia</v>
      </c>
      <c r="W252" s="48" t="s">
        <v>1979</v>
      </c>
      <c r="X252" t="str">
        <f t="shared" si="23"/>
        <v>Neutral</v>
      </c>
    </row>
    <row r="253" spans="1:24" x14ac:dyDescent="0.3">
      <c r="A253" s="6">
        <v>252</v>
      </c>
      <c r="B253" s="46">
        <v>43327</v>
      </c>
      <c r="C253" s="7" t="str">
        <f t="shared" si="18"/>
        <v>2018</v>
      </c>
      <c r="D253" s="7" t="str">
        <f t="shared" si="19"/>
        <v>Aug</v>
      </c>
      <c r="E253" s="46">
        <v>43327</v>
      </c>
      <c r="F253" s="7" t="str">
        <f t="shared" si="20"/>
        <v>Aug</v>
      </c>
      <c r="G253" t="s">
        <v>32</v>
      </c>
      <c r="H253" t="s">
        <v>1980</v>
      </c>
      <c r="I253" t="s">
        <v>427</v>
      </c>
      <c r="J253" s="48" t="s">
        <v>1981</v>
      </c>
      <c r="K253" t="s">
        <v>20</v>
      </c>
      <c r="L253" t="s">
        <v>1982</v>
      </c>
      <c r="Q253" s="48" t="s">
        <v>1983</v>
      </c>
      <c r="S253" t="s">
        <v>1984</v>
      </c>
      <c r="T253" s="6" t="str">
        <f t="shared" si="21"/>
        <v>No Progress</v>
      </c>
      <c r="U253" s="48" t="s">
        <v>1985</v>
      </c>
      <c r="V253" t="str">
        <f t="shared" si="22"/>
        <v>startupjobs.asia</v>
      </c>
      <c r="W253" s="48" t="s">
        <v>1986</v>
      </c>
      <c r="X253" t="str">
        <f t="shared" si="23"/>
        <v>Neutral</v>
      </c>
    </row>
    <row r="254" spans="1:24" x14ac:dyDescent="0.3">
      <c r="A254" s="6">
        <v>253</v>
      </c>
      <c r="B254" s="45">
        <v>43327</v>
      </c>
      <c r="C254" s="7" t="str">
        <f t="shared" si="18"/>
        <v>2018</v>
      </c>
      <c r="D254" s="7" t="str">
        <f t="shared" si="19"/>
        <v>Aug</v>
      </c>
      <c r="E254" s="45">
        <v>43328</v>
      </c>
      <c r="F254" s="7" t="str">
        <f t="shared" si="20"/>
        <v>Aug</v>
      </c>
      <c r="G254" s="37" t="s">
        <v>32</v>
      </c>
      <c r="H254" s="37" t="s">
        <v>1987</v>
      </c>
      <c r="I254" s="37" t="s">
        <v>626</v>
      </c>
      <c r="J254" s="43" t="s">
        <v>1988</v>
      </c>
      <c r="K254" s="37" t="s">
        <v>20</v>
      </c>
      <c r="L254" s="37" t="s">
        <v>1989</v>
      </c>
      <c r="M254" s="37" t="s">
        <v>1990</v>
      </c>
      <c r="N254" s="37"/>
      <c r="O254" s="37"/>
      <c r="P254" s="37"/>
      <c r="Q254" s="43" t="s">
        <v>1991</v>
      </c>
      <c r="R254" s="37"/>
      <c r="S254" s="37" t="s">
        <v>1992</v>
      </c>
      <c r="T254" s="6" t="str">
        <f t="shared" si="21"/>
        <v>Cold</v>
      </c>
      <c r="U254" s="43" t="s">
        <v>1993</v>
      </c>
      <c r="V254" t="str">
        <f t="shared" si="22"/>
        <v>startupjobs.asia</v>
      </c>
      <c r="W254" s="43" t="s">
        <v>1994</v>
      </c>
      <c r="X254" t="str">
        <f t="shared" si="23"/>
        <v>Positive</v>
      </c>
    </row>
    <row r="255" spans="1:24" x14ac:dyDescent="0.3">
      <c r="A255" s="6">
        <v>254</v>
      </c>
      <c r="B255" s="46">
        <v>43327</v>
      </c>
      <c r="C255" s="7" t="str">
        <f t="shared" si="18"/>
        <v>2018</v>
      </c>
      <c r="D255" s="7" t="str">
        <f t="shared" si="19"/>
        <v>Aug</v>
      </c>
      <c r="E255" s="46">
        <v>43328</v>
      </c>
      <c r="F255" s="7" t="str">
        <f t="shared" si="20"/>
        <v>Aug</v>
      </c>
      <c r="G255" t="s">
        <v>32</v>
      </c>
      <c r="H255" t="s">
        <v>1995</v>
      </c>
      <c r="I255" t="s">
        <v>119</v>
      </c>
      <c r="J255" s="48" t="s">
        <v>1996</v>
      </c>
      <c r="K255" t="s">
        <v>20</v>
      </c>
      <c r="L255" t="s">
        <v>1997</v>
      </c>
      <c r="M255" t="s">
        <v>1998</v>
      </c>
      <c r="N255" s="48" t="s">
        <v>1999</v>
      </c>
      <c r="Q255" s="48" t="s">
        <v>2000</v>
      </c>
      <c r="S255" t="s">
        <v>2001</v>
      </c>
      <c r="T255" s="6" t="str">
        <f t="shared" si="21"/>
        <v>No Progress</v>
      </c>
      <c r="U255" s="48" t="s">
        <v>2002</v>
      </c>
      <c r="V255" t="str">
        <f t="shared" si="22"/>
        <v>www.techinasia.com</v>
      </c>
      <c r="W255" s="48" t="s">
        <v>2003</v>
      </c>
      <c r="X255" t="str">
        <f t="shared" si="23"/>
        <v>Neutral</v>
      </c>
    </row>
    <row r="256" spans="1:24" x14ac:dyDescent="0.3">
      <c r="A256" s="6">
        <v>255</v>
      </c>
      <c r="B256" s="46">
        <v>43327</v>
      </c>
      <c r="C256" s="7" t="str">
        <f t="shared" si="18"/>
        <v>2018</v>
      </c>
      <c r="D256" s="7" t="str">
        <f t="shared" si="19"/>
        <v>Aug</v>
      </c>
      <c r="E256" s="46">
        <v>43327</v>
      </c>
      <c r="F256" s="7" t="str">
        <f t="shared" si="20"/>
        <v>Aug</v>
      </c>
      <c r="G256" t="s">
        <v>2004</v>
      </c>
      <c r="H256" t="s">
        <v>2005</v>
      </c>
      <c r="K256" t="s">
        <v>20</v>
      </c>
      <c r="L256" t="s">
        <v>2006</v>
      </c>
      <c r="S256" t="s">
        <v>1984</v>
      </c>
      <c r="T256" s="6" t="str">
        <f t="shared" si="21"/>
        <v>No Progress</v>
      </c>
      <c r="U256" s="48" t="s">
        <v>2007</v>
      </c>
      <c r="V256" t="str">
        <f t="shared" si="22"/>
        <v>www.techinasia.com</v>
      </c>
      <c r="W256" s="48" t="s">
        <v>2008</v>
      </c>
      <c r="X256" t="str">
        <f t="shared" si="23"/>
        <v>Neutral</v>
      </c>
    </row>
    <row r="257" spans="1:24" x14ac:dyDescent="0.3">
      <c r="A257" s="6">
        <v>256</v>
      </c>
      <c r="B257" s="69">
        <v>43327</v>
      </c>
      <c r="C257" s="7" t="str">
        <f t="shared" si="18"/>
        <v>2018</v>
      </c>
      <c r="D257" s="7" t="str">
        <f t="shared" si="19"/>
        <v>Aug</v>
      </c>
      <c r="E257" s="69">
        <v>43328</v>
      </c>
      <c r="F257" s="7" t="str">
        <f t="shared" si="20"/>
        <v>Aug</v>
      </c>
      <c r="G257" s="65" t="s">
        <v>1656</v>
      </c>
      <c r="H257" s="65" t="s">
        <v>2009</v>
      </c>
      <c r="I257" s="65" t="s">
        <v>330</v>
      </c>
      <c r="J257" s="70" t="s">
        <v>2010</v>
      </c>
      <c r="K257" s="65" t="s">
        <v>20</v>
      </c>
      <c r="L257" s="65" t="s">
        <v>2011</v>
      </c>
      <c r="M257" s="65" t="s">
        <v>2012</v>
      </c>
      <c r="N257" s="70" t="s">
        <v>2013</v>
      </c>
      <c r="O257" s="65"/>
      <c r="P257" s="65"/>
      <c r="Q257" s="70" t="s">
        <v>2014</v>
      </c>
      <c r="R257" s="65"/>
      <c r="S257" s="65" t="s">
        <v>2015</v>
      </c>
      <c r="T257" s="6" t="str">
        <f t="shared" si="21"/>
        <v>Hot</v>
      </c>
      <c r="U257" s="70" t="s">
        <v>2016</v>
      </c>
      <c r="V257" t="str">
        <f t="shared" si="22"/>
        <v>www.f6s.com</v>
      </c>
      <c r="W257" s="70" t="s">
        <v>2017</v>
      </c>
      <c r="X257" t="str">
        <f t="shared" si="23"/>
        <v>Negative</v>
      </c>
    </row>
    <row r="258" spans="1:24" x14ac:dyDescent="0.3">
      <c r="A258" s="6">
        <v>257</v>
      </c>
      <c r="B258" s="46">
        <v>43327</v>
      </c>
      <c r="C258" s="7" t="str">
        <f t="shared" si="18"/>
        <v>2018</v>
      </c>
      <c r="D258" s="7" t="str">
        <f t="shared" si="19"/>
        <v>Aug</v>
      </c>
      <c r="E258" s="46">
        <v>43327</v>
      </c>
      <c r="F258" s="7" t="str">
        <f t="shared" si="20"/>
        <v>Aug</v>
      </c>
      <c r="G258" t="s">
        <v>60</v>
      </c>
      <c r="H258" t="s">
        <v>2018</v>
      </c>
      <c r="I258" t="s">
        <v>2019</v>
      </c>
      <c r="L258" t="s">
        <v>2020</v>
      </c>
      <c r="S258" t="s">
        <v>1984</v>
      </c>
      <c r="T258" s="6" t="str">
        <f t="shared" si="21"/>
        <v>No Progress</v>
      </c>
      <c r="U258" s="48" t="s">
        <v>2021</v>
      </c>
      <c r="V258" t="str">
        <f t="shared" si="22"/>
        <v>www.f6s.com</v>
      </c>
      <c r="W258" s="48" t="s">
        <v>2022</v>
      </c>
      <c r="X258" t="str">
        <f t="shared" si="23"/>
        <v>Neutral</v>
      </c>
    </row>
    <row r="259" spans="1:24" x14ac:dyDescent="0.3">
      <c r="A259" s="6">
        <v>258</v>
      </c>
      <c r="B259" s="46">
        <v>43327</v>
      </c>
      <c r="C259" s="7" t="str">
        <f t="shared" ref="C259:C322" si="24">TEXT(B259, "yyyy")</f>
        <v>2018</v>
      </c>
      <c r="D259" s="7" t="str">
        <f t="shared" ref="D259:D322" si="25">TEXT(B259, "mmm")</f>
        <v>Aug</v>
      </c>
      <c r="E259" s="46">
        <v>43327</v>
      </c>
      <c r="F259" s="7" t="str">
        <f t="shared" ref="F259:F322" si="26">TEXT(E259, "mmm")</f>
        <v>Aug</v>
      </c>
      <c r="G259" t="s">
        <v>490</v>
      </c>
      <c r="H259" t="s">
        <v>2023</v>
      </c>
      <c r="I259" t="s">
        <v>2024</v>
      </c>
      <c r="J259" s="48" t="s">
        <v>2025</v>
      </c>
      <c r="K259" t="s">
        <v>20</v>
      </c>
      <c r="L259" t="s">
        <v>2026</v>
      </c>
      <c r="N259" s="48" t="s">
        <v>2027</v>
      </c>
      <c r="O259" s="48" t="s">
        <v>2028</v>
      </c>
      <c r="Q259" s="48" t="s">
        <v>2029</v>
      </c>
      <c r="S259" t="s">
        <v>1977</v>
      </c>
      <c r="T259" s="6" t="str">
        <f t="shared" ref="T259:T322" si="27">GetCellColorStatus(B259)</f>
        <v>No Progress</v>
      </c>
      <c r="U259" s="48" t="s">
        <v>2030</v>
      </c>
      <c r="V259" t="str">
        <f t="shared" ref="V259:V322" si="28">IF(U259 = "", "No Source", MID(U259, SEARCH("//", U259) + 2, SEARCH("/", U259, SEARCH("//", U259) + 2) - SEARCH("//", U259) - 2))</f>
        <v>www.f6s.com</v>
      </c>
      <c r="W259" s="48" t="s">
        <v>2031</v>
      </c>
      <c r="X259" t="str">
        <f t="shared" ref="X259:X322" si="29">IF(OR(ISNUMBER(SEARCH("no answer", LOWER(S259))), ISNUMBER(SEARCH("not interested", LOWER(S259)))), "Negative",
IF(OR(ISNUMBER(SEARCH("email sent", LOWER(S259))), ISNUMBER(SEARCH("follow up", LOWER(S259))), ISNUMBER(SEARCH("spoke", LOWER(S259)))), "Positive",
"Neutral"))</f>
        <v>Neutral</v>
      </c>
    </row>
    <row r="260" spans="1:24" x14ac:dyDescent="0.3">
      <c r="A260" s="6">
        <v>259</v>
      </c>
      <c r="B260" s="46">
        <v>43327</v>
      </c>
      <c r="C260" s="7" t="str">
        <f t="shared" si="24"/>
        <v>2018</v>
      </c>
      <c r="D260" s="7" t="str">
        <f t="shared" si="25"/>
        <v>Aug</v>
      </c>
      <c r="E260" s="46">
        <v>43328</v>
      </c>
      <c r="F260" s="7" t="str">
        <f t="shared" si="26"/>
        <v>Aug</v>
      </c>
      <c r="G260" t="s">
        <v>1624</v>
      </c>
      <c r="H260" s="47" t="s">
        <v>2032</v>
      </c>
      <c r="I260" t="s">
        <v>119</v>
      </c>
      <c r="J260" s="48" t="s">
        <v>2033</v>
      </c>
      <c r="K260" t="s">
        <v>20</v>
      </c>
      <c r="L260" t="s">
        <v>2034</v>
      </c>
      <c r="M260" t="s">
        <v>2035</v>
      </c>
      <c r="P260" s="48" t="s">
        <v>2036</v>
      </c>
      <c r="Q260" s="48" t="s">
        <v>2037</v>
      </c>
      <c r="R260" s="48" t="s">
        <v>2038</v>
      </c>
      <c r="S260" t="s">
        <v>2039</v>
      </c>
      <c r="T260" s="6" t="str">
        <f t="shared" si="27"/>
        <v>No Progress</v>
      </c>
      <c r="U260" s="48" t="s">
        <v>2040</v>
      </c>
      <c r="V260" t="str">
        <f t="shared" si="28"/>
        <v>www.f6s.com</v>
      </c>
      <c r="W260" s="48" t="s">
        <v>2041</v>
      </c>
      <c r="X260" t="str">
        <f t="shared" si="29"/>
        <v>Negative</v>
      </c>
    </row>
    <row r="261" spans="1:24" x14ac:dyDescent="0.3">
      <c r="A261" s="6">
        <v>260</v>
      </c>
      <c r="B261" s="46">
        <v>43327</v>
      </c>
      <c r="C261" s="7" t="str">
        <f t="shared" si="24"/>
        <v>2018</v>
      </c>
      <c r="D261" s="7" t="str">
        <f t="shared" si="25"/>
        <v>Aug</v>
      </c>
      <c r="E261" s="46">
        <v>43328</v>
      </c>
      <c r="F261" s="7" t="str">
        <f t="shared" si="26"/>
        <v>Aug</v>
      </c>
      <c r="G261" t="s">
        <v>659</v>
      </c>
      <c r="H261" s="47" t="s">
        <v>2042</v>
      </c>
      <c r="I261" t="s">
        <v>1188</v>
      </c>
      <c r="J261" s="48" t="s">
        <v>2043</v>
      </c>
      <c r="K261" t="s">
        <v>20</v>
      </c>
      <c r="L261" t="s">
        <v>2044</v>
      </c>
      <c r="M261" t="s">
        <v>2045</v>
      </c>
      <c r="N261" s="48" t="s">
        <v>2046</v>
      </c>
      <c r="Q261" s="48" t="s">
        <v>2047</v>
      </c>
      <c r="S261" t="s">
        <v>2048</v>
      </c>
      <c r="T261" s="6" t="str">
        <f t="shared" si="27"/>
        <v>No Progress</v>
      </c>
      <c r="U261" s="48" t="s">
        <v>2049</v>
      </c>
      <c r="V261" t="str">
        <f t="shared" si="28"/>
        <v>www.f6s.com</v>
      </c>
      <c r="W261" s="48" t="s">
        <v>2050</v>
      </c>
      <c r="X261" t="str">
        <f t="shared" si="29"/>
        <v>Negative</v>
      </c>
    </row>
    <row r="262" spans="1:24" x14ac:dyDescent="0.3">
      <c r="A262" s="6">
        <v>261</v>
      </c>
      <c r="B262" s="46">
        <v>43327</v>
      </c>
      <c r="C262" s="7" t="str">
        <f t="shared" si="24"/>
        <v>2018</v>
      </c>
      <c r="D262" s="7" t="str">
        <f t="shared" si="25"/>
        <v>Aug</v>
      </c>
      <c r="E262" s="46">
        <v>43327</v>
      </c>
      <c r="F262" s="7" t="str">
        <f t="shared" si="26"/>
        <v>Aug</v>
      </c>
      <c r="G262" t="s">
        <v>2051</v>
      </c>
      <c r="H262" t="s">
        <v>2052</v>
      </c>
      <c r="I262" t="s">
        <v>1188</v>
      </c>
      <c r="J262" s="48" t="s">
        <v>2053</v>
      </c>
      <c r="K262" t="s">
        <v>20</v>
      </c>
      <c r="L262" t="s">
        <v>2054</v>
      </c>
      <c r="N262" s="48" t="s">
        <v>2055</v>
      </c>
      <c r="Q262" s="48" t="s">
        <v>2056</v>
      </c>
      <c r="S262" t="s">
        <v>1977</v>
      </c>
      <c r="T262" s="6" t="str">
        <f t="shared" si="27"/>
        <v>No Progress</v>
      </c>
      <c r="U262" s="48" t="s">
        <v>2057</v>
      </c>
      <c r="V262" t="str">
        <f t="shared" si="28"/>
        <v>www.f6s.com</v>
      </c>
      <c r="W262" s="48" t="s">
        <v>2058</v>
      </c>
      <c r="X262" t="str">
        <f t="shared" si="29"/>
        <v>Neutral</v>
      </c>
    </row>
    <row r="263" spans="1:24" x14ac:dyDescent="0.3">
      <c r="A263" s="6">
        <v>262</v>
      </c>
      <c r="B263" s="46">
        <v>43327</v>
      </c>
      <c r="C263" s="7" t="str">
        <f t="shared" si="24"/>
        <v>2018</v>
      </c>
      <c r="D263" s="7" t="str">
        <f t="shared" si="25"/>
        <v>Aug</v>
      </c>
      <c r="E263" s="46">
        <v>43327</v>
      </c>
      <c r="F263" s="7" t="str">
        <f t="shared" si="26"/>
        <v>Aug</v>
      </c>
      <c r="G263" t="s">
        <v>490</v>
      </c>
      <c r="H263" s="47" t="s">
        <v>2059</v>
      </c>
      <c r="I263" t="s">
        <v>1188</v>
      </c>
      <c r="J263" s="48" t="s">
        <v>2060</v>
      </c>
      <c r="K263" t="s">
        <v>20</v>
      </c>
      <c r="L263" t="s">
        <v>2061</v>
      </c>
      <c r="N263" s="48" t="s">
        <v>2062</v>
      </c>
      <c r="Q263" s="48" t="s">
        <v>2063</v>
      </c>
      <c r="R263" s="48" t="s">
        <v>2064</v>
      </c>
      <c r="S263" t="s">
        <v>1977</v>
      </c>
      <c r="T263" s="6" t="str">
        <f t="shared" si="27"/>
        <v>No Progress</v>
      </c>
      <c r="U263" s="48" t="s">
        <v>2065</v>
      </c>
      <c r="V263" t="str">
        <f t="shared" si="28"/>
        <v>www.f6s.com</v>
      </c>
      <c r="W263" s="48" t="s">
        <v>2066</v>
      </c>
      <c r="X263" t="str">
        <f t="shared" si="29"/>
        <v>Neutral</v>
      </c>
    </row>
    <row r="264" spans="1:24" x14ac:dyDescent="0.3">
      <c r="A264" s="6">
        <v>263</v>
      </c>
      <c r="B264" s="46">
        <v>43360</v>
      </c>
      <c r="C264" s="7" t="str">
        <f t="shared" si="24"/>
        <v>2018</v>
      </c>
      <c r="D264" s="7" t="str">
        <f t="shared" si="25"/>
        <v>Sep</v>
      </c>
      <c r="E264" s="46">
        <v>43360</v>
      </c>
      <c r="F264" s="7" t="str">
        <f t="shared" si="26"/>
        <v>Sep</v>
      </c>
      <c r="G264" t="s">
        <v>2067</v>
      </c>
      <c r="H264" t="s">
        <v>2068</v>
      </c>
      <c r="I264" t="s">
        <v>2069</v>
      </c>
      <c r="J264" s="48" t="s">
        <v>2070</v>
      </c>
      <c r="K264" t="s">
        <v>20</v>
      </c>
      <c r="L264" t="s">
        <v>2071</v>
      </c>
      <c r="N264" s="48" t="s">
        <v>2072</v>
      </c>
      <c r="S264" t="s">
        <v>2073</v>
      </c>
      <c r="T264" s="6" t="str">
        <f t="shared" si="27"/>
        <v>No Progress</v>
      </c>
      <c r="U264" s="48" t="s">
        <v>2074</v>
      </c>
      <c r="V264" t="str">
        <f t="shared" si="28"/>
        <v>angel.co</v>
      </c>
      <c r="W264" s="48" t="s">
        <v>2075</v>
      </c>
      <c r="X264" t="str">
        <f t="shared" si="29"/>
        <v>Neutral</v>
      </c>
    </row>
    <row r="265" spans="1:24" x14ac:dyDescent="0.3">
      <c r="A265" s="6">
        <v>264</v>
      </c>
      <c r="B265" s="46">
        <v>43360</v>
      </c>
      <c r="C265" s="7" t="str">
        <f t="shared" si="24"/>
        <v>2018</v>
      </c>
      <c r="D265" s="7" t="str">
        <f t="shared" si="25"/>
        <v>Sep</v>
      </c>
      <c r="E265" s="46">
        <v>43360</v>
      </c>
      <c r="F265" s="7" t="str">
        <f t="shared" si="26"/>
        <v>Sep</v>
      </c>
      <c r="G265" t="s">
        <v>2076</v>
      </c>
      <c r="H265" t="s">
        <v>2077</v>
      </c>
      <c r="I265" t="s">
        <v>2069</v>
      </c>
      <c r="J265" s="48" t="s">
        <v>2078</v>
      </c>
      <c r="K265" t="s">
        <v>302</v>
      </c>
      <c r="L265" t="s">
        <v>2079</v>
      </c>
      <c r="M265" t="s">
        <v>2080</v>
      </c>
      <c r="N265" s="48" t="s">
        <v>2081</v>
      </c>
      <c r="S265" t="s">
        <v>2073</v>
      </c>
      <c r="T265" s="6" t="str">
        <f t="shared" si="27"/>
        <v>No Progress</v>
      </c>
      <c r="U265" s="48" t="s">
        <v>2082</v>
      </c>
      <c r="V265" t="str">
        <f t="shared" si="28"/>
        <v>angel.co</v>
      </c>
      <c r="W265" s="48" t="s">
        <v>2083</v>
      </c>
      <c r="X265" t="str">
        <f t="shared" si="29"/>
        <v>Neutral</v>
      </c>
    </row>
    <row r="266" spans="1:24" x14ac:dyDescent="0.3">
      <c r="A266" s="6">
        <v>265</v>
      </c>
      <c r="B266" s="46">
        <v>43360</v>
      </c>
      <c r="C266" s="7" t="str">
        <f t="shared" si="24"/>
        <v>2018</v>
      </c>
      <c r="D266" s="7" t="str">
        <f t="shared" si="25"/>
        <v>Sep</v>
      </c>
      <c r="E266" s="46">
        <v>43360</v>
      </c>
      <c r="F266" s="7" t="str">
        <f t="shared" si="26"/>
        <v>Sep</v>
      </c>
      <c r="G266" t="s">
        <v>2084</v>
      </c>
      <c r="H266" t="s">
        <v>2085</v>
      </c>
      <c r="I266" t="s">
        <v>2069</v>
      </c>
      <c r="J266" s="48" t="s">
        <v>2086</v>
      </c>
      <c r="K266" t="s">
        <v>20</v>
      </c>
      <c r="L266" t="s">
        <v>2087</v>
      </c>
      <c r="N266" s="48" t="s">
        <v>2088</v>
      </c>
      <c r="S266" t="s">
        <v>2073</v>
      </c>
      <c r="T266" s="6" t="str">
        <f t="shared" si="27"/>
        <v>No Progress</v>
      </c>
      <c r="U266" s="48" t="s">
        <v>2089</v>
      </c>
      <c r="V266" t="str">
        <f t="shared" si="28"/>
        <v>angel.co</v>
      </c>
      <c r="W266" s="48" t="s">
        <v>2090</v>
      </c>
      <c r="X266" t="str">
        <f t="shared" si="29"/>
        <v>Neutral</v>
      </c>
    </row>
    <row r="267" spans="1:24" x14ac:dyDescent="0.3">
      <c r="A267" s="6">
        <v>266</v>
      </c>
      <c r="B267" s="46">
        <v>43360</v>
      </c>
      <c r="C267" s="7" t="str">
        <f t="shared" si="24"/>
        <v>2018</v>
      </c>
      <c r="D267" s="7" t="str">
        <f t="shared" si="25"/>
        <v>Sep</v>
      </c>
      <c r="E267" s="46">
        <v>43360</v>
      </c>
      <c r="F267" s="7" t="str">
        <f t="shared" si="26"/>
        <v>Sep</v>
      </c>
      <c r="G267" t="s">
        <v>2091</v>
      </c>
      <c r="H267" s="47" t="s">
        <v>2092</v>
      </c>
      <c r="I267" t="s">
        <v>2093</v>
      </c>
      <c r="J267" s="53" t="s">
        <v>2094</v>
      </c>
      <c r="K267" t="s">
        <v>20</v>
      </c>
      <c r="L267" t="s">
        <v>2095</v>
      </c>
      <c r="N267" s="48" t="s">
        <v>2096</v>
      </c>
      <c r="S267" t="s">
        <v>2073</v>
      </c>
      <c r="T267" s="6" t="str">
        <f t="shared" si="27"/>
        <v>No Progress</v>
      </c>
      <c r="U267" s="48" t="s">
        <v>2097</v>
      </c>
      <c r="V267" t="str">
        <f t="shared" si="28"/>
        <v>angel.co</v>
      </c>
      <c r="W267" s="48" t="s">
        <v>2098</v>
      </c>
      <c r="X267" t="str">
        <f t="shared" si="29"/>
        <v>Neutral</v>
      </c>
    </row>
    <row r="268" spans="1:24" x14ac:dyDescent="0.3">
      <c r="A268" s="6">
        <v>267</v>
      </c>
      <c r="B268" s="46">
        <v>43360</v>
      </c>
      <c r="C268" s="7" t="str">
        <f t="shared" si="24"/>
        <v>2018</v>
      </c>
      <c r="D268" s="7" t="str">
        <f t="shared" si="25"/>
        <v>Sep</v>
      </c>
      <c r="E268" s="46">
        <v>43360</v>
      </c>
      <c r="F268" s="7" t="str">
        <f t="shared" si="26"/>
        <v>Sep</v>
      </c>
      <c r="G268" t="s">
        <v>2099</v>
      </c>
      <c r="H268" t="s">
        <v>2100</v>
      </c>
      <c r="I268" t="s">
        <v>2069</v>
      </c>
      <c r="J268" s="48" t="s">
        <v>2101</v>
      </c>
      <c r="K268" t="s">
        <v>20</v>
      </c>
      <c r="L268" t="s">
        <v>2102</v>
      </c>
      <c r="N268" s="48" t="s">
        <v>2103</v>
      </c>
      <c r="S268" t="s">
        <v>2073</v>
      </c>
      <c r="T268" s="6" t="str">
        <f t="shared" si="27"/>
        <v>No Progress</v>
      </c>
      <c r="U268" s="48" t="s">
        <v>2104</v>
      </c>
      <c r="V268" t="str">
        <f t="shared" si="28"/>
        <v>angel.co</v>
      </c>
      <c r="W268" s="48" t="s">
        <v>2105</v>
      </c>
      <c r="X268" t="str">
        <f t="shared" si="29"/>
        <v>Neutral</v>
      </c>
    </row>
    <row r="269" spans="1:24" x14ac:dyDescent="0.3">
      <c r="A269" s="6">
        <v>268</v>
      </c>
      <c r="B269" s="50">
        <v>43360</v>
      </c>
      <c r="C269" s="7" t="str">
        <f t="shared" si="24"/>
        <v>2018</v>
      </c>
      <c r="D269" s="7" t="str">
        <f t="shared" si="25"/>
        <v>Sep</v>
      </c>
      <c r="E269" s="50">
        <v>43360</v>
      </c>
      <c r="F269" s="7" t="str">
        <f t="shared" si="26"/>
        <v>Sep</v>
      </c>
      <c r="G269" s="49" t="s">
        <v>2106</v>
      </c>
      <c r="H269" s="47" t="s">
        <v>2107</v>
      </c>
      <c r="I269" s="49" t="s">
        <v>2069</v>
      </c>
      <c r="J269" s="51" t="s">
        <v>2108</v>
      </c>
      <c r="K269" s="49" t="s">
        <v>20</v>
      </c>
      <c r="L269" s="49" t="s">
        <v>2109</v>
      </c>
      <c r="M269" s="49" t="s">
        <v>2110</v>
      </c>
      <c r="N269" s="51" t="s">
        <v>2111</v>
      </c>
      <c r="O269" s="49"/>
      <c r="P269" s="49"/>
      <c r="Q269" s="49"/>
      <c r="R269" s="49"/>
      <c r="S269" s="49" t="s">
        <v>2112</v>
      </c>
      <c r="T269" s="6" t="str">
        <f t="shared" si="27"/>
        <v>Warm</v>
      </c>
      <c r="U269" s="51" t="s">
        <v>2113</v>
      </c>
      <c r="V269" t="str">
        <f t="shared" si="28"/>
        <v>angel.co</v>
      </c>
      <c r="W269" s="51" t="s">
        <v>2114</v>
      </c>
      <c r="X269" t="str">
        <f t="shared" si="29"/>
        <v>Neutral</v>
      </c>
    </row>
    <row r="270" spans="1:24" x14ac:dyDescent="0.3">
      <c r="A270" s="6">
        <v>269</v>
      </c>
      <c r="B270" s="46">
        <v>43362</v>
      </c>
      <c r="C270" s="7" t="str">
        <f t="shared" si="24"/>
        <v>2018</v>
      </c>
      <c r="D270" s="7" t="str">
        <f t="shared" si="25"/>
        <v>Sep</v>
      </c>
      <c r="E270" s="46">
        <v>43362</v>
      </c>
      <c r="F270" s="7" t="str">
        <f t="shared" si="26"/>
        <v>Sep</v>
      </c>
      <c r="G270" t="s">
        <v>1530</v>
      </c>
      <c r="H270" s="47" t="s">
        <v>2115</v>
      </c>
      <c r="I270" t="s">
        <v>330</v>
      </c>
      <c r="J270" s="48" t="s">
        <v>2116</v>
      </c>
      <c r="K270" t="s">
        <v>20</v>
      </c>
      <c r="L270" t="s">
        <v>2117</v>
      </c>
      <c r="M270" t="s">
        <v>2118</v>
      </c>
      <c r="N270" s="48" t="s">
        <v>2119</v>
      </c>
      <c r="Q270" s="48" t="s">
        <v>2120</v>
      </c>
      <c r="S270" t="s">
        <v>2121</v>
      </c>
      <c r="T270" s="6" t="str">
        <f t="shared" si="27"/>
        <v>No Progress</v>
      </c>
      <c r="U270" s="48" t="s">
        <v>2122</v>
      </c>
      <c r="V270" t="str">
        <f t="shared" si="28"/>
        <v>www.f6s.com</v>
      </c>
      <c r="W270" s="48" t="s">
        <v>2123</v>
      </c>
      <c r="X270" t="str">
        <f t="shared" si="29"/>
        <v>Neutral</v>
      </c>
    </row>
    <row r="271" spans="1:24" x14ac:dyDescent="0.3">
      <c r="A271" s="6">
        <v>270</v>
      </c>
      <c r="B271" s="50">
        <v>43376</v>
      </c>
      <c r="C271" s="7" t="str">
        <f t="shared" si="24"/>
        <v>2018</v>
      </c>
      <c r="D271" s="7" t="str">
        <f t="shared" si="25"/>
        <v>Oct</v>
      </c>
      <c r="E271" s="50">
        <v>43376</v>
      </c>
      <c r="F271" s="7" t="str">
        <f t="shared" si="26"/>
        <v>Oct</v>
      </c>
      <c r="G271" s="49" t="s">
        <v>17</v>
      </c>
      <c r="H271" s="49" t="s">
        <v>2124</v>
      </c>
      <c r="I271" s="49" t="s">
        <v>204</v>
      </c>
      <c r="J271" s="51" t="s">
        <v>2125</v>
      </c>
      <c r="K271" s="49" t="s">
        <v>20</v>
      </c>
      <c r="L271" s="49" t="s">
        <v>2126</v>
      </c>
      <c r="M271" s="49"/>
      <c r="N271" s="51" t="s">
        <v>2127</v>
      </c>
      <c r="O271" s="49"/>
      <c r="P271" s="49"/>
      <c r="Q271" s="49"/>
      <c r="R271" s="49"/>
      <c r="S271" s="49" t="s">
        <v>2128</v>
      </c>
      <c r="T271" s="6" t="str">
        <f t="shared" si="27"/>
        <v>Warm</v>
      </c>
      <c r="U271" s="51" t="s">
        <v>2129</v>
      </c>
      <c r="V271" t="str">
        <f t="shared" si="28"/>
        <v>startupjobs.asia</v>
      </c>
      <c r="W271" s="51" t="s">
        <v>2130</v>
      </c>
      <c r="X271" t="str">
        <f t="shared" si="29"/>
        <v>Positive</v>
      </c>
    </row>
    <row r="272" spans="1:24" x14ac:dyDescent="0.3">
      <c r="A272" s="6">
        <v>271</v>
      </c>
      <c r="B272" s="46">
        <v>43376</v>
      </c>
      <c r="C272" s="7" t="str">
        <f t="shared" si="24"/>
        <v>2018</v>
      </c>
      <c r="D272" s="7" t="str">
        <f t="shared" si="25"/>
        <v>Oct</v>
      </c>
      <c r="E272" s="46">
        <v>43385</v>
      </c>
      <c r="F272" s="7" t="str">
        <f t="shared" si="26"/>
        <v>Oct</v>
      </c>
      <c r="G272" t="s">
        <v>17</v>
      </c>
      <c r="H272" t="s">
        <v>2131</v>
      </c>
      <c r="I272" t="s">
        <v>1083</v>
      </c>
      <c r="J272" s="48" t="s">
        <v>2132</v>
      </c>
      <c r="K272" t="s">
        <v>20</v>
      </c>
      <c r="M272" t="s">
        <v>2133</v>
      </c>
      <c r="N272" s="48" t="s">
        <v>2134</v>
      </c>
      <c r="S272" t="s">
        <v>2135</v>
      </c>
      <c r="T272" s="6" t="str">
        <f t="shared" si="27"/>
        <v>No Progress</v>
      </c>
      <c r="U272" s="48" t="s">
        <v>2136</v>
      </c>
      <c r="V272" t="str">
        <f t="shared" si="28"/>
        <v>startupjobs.asia</v>
      </c>
      <c r="W272" s="48" t="s">
        <v>2137</v>
      </c>
      <c r="X272" t="str">
        <f t="shared" si="29"/>
        <v>Positive</v>
      </c>
    </row>
    <row r="273" spans="1:24" x14ac:dyDescent="0.3">
      <c r="A273" s="6">
        <v>272</v>
      </c>
      <c r="B273" s="46">
        <v>43376</v>
      </c>
      <c r="C273" s="7" t="str">
        <f t="shared" si="24"/>
        <v>2018</v>
      </c>
      <c r="D273" s="7" t="str">
        <f t="shared" si="25"/>
        <v>Oct</v>
      </c>
      <c r="E273" s="46">
        <v>43376</v>
      </c>
      <c r="F273" s="7" t="str">
        <f t="shared" si="26"/>
        <v>Oct</v>
      </c>
      <c r="G273" t="s">
        <v>2076</v>
      </c>
      <c r="H273" t="s">
        <v>2138</v>
      </c>
      <c r="I273" t="s">
        <v>1188</v>
      </c>
      <c r="J273" s="48" t="s">
        <v>2139</v>
      </c>
      <c r="K273" t="s">
        <v>20</v>
      </c>
      <c r="L273" t="s">
        <v>2140</v>
      </c>
      <c r="Q273" s="48"/>
      <c r="S273" t="s">
        <v>2141</v>
      </c>
      <c r="T273" s="6" t="str">
        <f t="shared" si="27"/>
        <v>No Progress</v>
      </c>
      <c r="U273" s="48" t="s">
        <v>2142</v>
      </c>
      <c r="V273" t="str">
        <f t="shared" si="28"/>
        <v>www.f6s.com</v>
      </c>
      <c r="W273" s="48" t="s">
        <v>2143</v>
      </c>
      <c r="X273" t="str">
        <f t="shared" si="29"/>
        <v>Neutral</v>
      </c>
    </row>
    <row r="274" spans="1:24" x14ac:dyDescent="0.3">
      <c r="A274" s="6">
        <v>273</v>
      </c>
      <c r="B274" s="46">
        <v>43376</v>
      </c>
      <c r="C274" s="7" t="str">
        <f t="shared" si="24"/>
        <v>2018</v>
      </c>
      <c r="D274" s="7" t="str">
        <f t="shared" si="25"/>
        <v>Oct</v>
      </c>
      <c r="E274" s="46">
        <v>43376</v>
      </c>
      <c r="F274" s="7" t="str">
        <f t="shared" si="26"/>
        <v>Oct</v>
      </c>
      <c r="G274" t="s">
        <v>2144</v>
      </c>
      <c r="H274" s="54" t="s">
        <v>2145</v>
      </c>
      <c r="K274" t="s">
        <v>20</v>
      </c>
      <c r="L274" s="47" t="s">
        <v>2146</v>
      </c>
      <c r="N274" s="48" t="s">
        <v>2147</v>
      </c>
      <c r="S274" t="s">
        <v>2141</v>
      </c>
      <c r="T274" s="6" t="str">
        <f t="shared" si="27"/>
        <v>No Progress</v>
      </c>
      <c r="U274" s="48" t="s">
        <v>2148</v>
      </c>
      <c r="V274" t="str">
        <f t="shared" si="28"/>
        <v>www.f6s.com</v>
      </c>
      <c r="W274" s="48" t="s">
        <v>2149</v>
      </c>
      <c r="X274" t="str">
        <f t="shared" si="29"/>
        <v>Neutral</v>
      </c>
    </row>
    <row r="275" spans="1:24" x14ac:dyDescent="0.3">
      <c r="A275" s="6">
        <v>274</v>
      </c>
      <c r="B275" s="50">
        <v>43376</v>
      </c>
      <c r="C275" s="7" t="str">
        <f t="shared" si="24"/>
        <v>2018</v>
      </c>
      <c r="D275" s="7" t="str">
        <f t="shared" si="25"/>
        <v>Oct</v>
      </c>
      <c r="E275" s="50">
        <v>43383</v>
      </c>
      <c r="F275" s="7" t="str">
        <f t="shared" si="26"/>
        <v>Oct</v>
      </c>
      <c r="G275" s="49" t="s">
        <v>2067</v>
      </c>
      <c r="H275" s="49" t="s">
        <v>2150</v>
      </c>
      <c r="I275" s="49" t="s">
        <v>1188</v>
      </c>
      <c r="J275" s="51" t="s">
        <v>2151</v>
      </c>
      <c r="K275" s="49" t="s">
        <v>20</v>
      </c>
      <c r="L275" s="49" t="s">
        <v>2152</v>
      </c>
      <c r="M275" s="49"/>
      <c r="N275" s="51" t="s">
        <v>2153</v>
      </c>
      <c r="O275" s="49"/>
      <c r="P275" s="49"/>
      <c r="Q275" s="51" t="s">
        <v>2154</v>
      </c>
      <c r="R275" s="49"/>
      <c r="S275" s="49" t="s">
        <v>2155</v>
      </c>
      <c r="T275" s="6" t="str">
        <f t="shared" si="27"/>
        <v>Warm</v>
      </c>
      <c r="U275" s="51" t="s">
        <v>2156</v>
      </c>
      <c r="V275" t="str">
        <f t="shared" si="28"/>
        <v>www.f6s.com</v>
      </c>
      <c r="W275" s="51" t="s">
        <v>2157</v>
      </c>
      <c r="X275" t="str">
        <f t="shared" si="29"/>
        <v>Positive</v>
      </c>
    </row>
    <row r="276" spans="1:24" x14ac:dyDescent="0.3">
      <c r="A276" s="6">
        <v>275</v>
      </c>
      <c r="B276" s="46">
        <v>43376</v>
      </c>
      <c r="C276" s="7" t="str">
        <f t="shared" si="24"/>
        <v>2018</v>
      </c>
      <c r="D276" s="7" t="str">
        <f t="shared" si="25"/>
        <v>Oct</v>
      </c>
      <c r="E276" s="46">
        <v>43382</v>
      </c>
      <c r="F276" s="7" t="str">
        <f t="shared" si="26"/>
        <v>Oct</v>
      </c>
      <c r="G276" t="s">
        <v>490</v>
      </c>
      <c r="H276" t="s">
        <v>2158</v>
      </c>
      <c r="I276" t="s">
        <v>330</v>
      </c>
      <c r="J276" s="48" t="s">
        <v>2159</v>
      </c>
      <c r="K276" t="s">
        <v>20</v>
      </c>
      <c r="L276" t="s">
        <v>2160</v>
      </c>
      <c r="N276" s="48" t="s">
        <v>2161</v>
      </c>
      <c r="S276" t="s">
        <v>2162</v>
      </c>
      <c r="T276" s="6" t="str">
        <f t="shared" si="27"/>
        <v>No Progress</v>
      </c>
      <c r="U276" s="48" t="s">
        <v>2163</v>
      </c>
      <c r="V276" t="str">
        <f t="shared" si="28"/>
        <v>www.f6s.com</v>
      </c>
      <c r="W276" s="48" t="s">
        <v>2164</v>
      </c>
      <c r="X276" t="str">
        <f t="shared" si="29"/>
        <v>Positive</v>
      </c>
    </row>
    <row r="277" spans="1:24" x14ac:dyDescent="0.3">
      <c r="A277" s="6">
        <v>276</v>
      </c>
      <c r="B277" s="46">
        <v>43376</v>
      </c>
      <c r="C277" s="7" t="str">
        <f t="shared" si="24"/>
        <v>2018</v>
      </c>
      <c r="D277" s="7" t="str">
        <f t="shared" si="25"/>
        <v>Oct</v>
      </c>
      <c r="E277" s="46">
        <v>43382</v>
      </c>
      <c r="F277" s="7" t="str">
        <f t="shared" si="26"/>
        <v>Oct</v>
      </c>
      <c r="G277" t="s">
        <v>2067</v>
      </c>
      <c r="H277" t="s">
        <v>2165</v>
      </c>
      <c r="I277" t="s">
        <v>1188</v>
      </c>
      <c r="J277" s="48" t="s">
        <v>2166</v>
      </c>
      <c r="K277" t="s">
        <v>20</v>
      </c>
      <c r="L277" t="s">
        <v>2167</v>
      </c>
      <c r="N277" s="48" t="s">
        <v>2168</v>
      </c>
      <c r="Q277" s="48" t="s">
        <v>2169</v>
      </c>
      <c r="S277" t="s">
        <v>2162</v>
      </c>
      <c r="T277" s="6" t="str">
        <f t="shared" si="27"/>
        <v>No Progress</v>
      </c>
      <c r="U277" s="48" t="s">
        <v>2170</v>
      </c>
      <c r="V277" t="str">
        <f t="shared" si="28"/>
        <v>www.f6s.com</v>
      </c>
      <c r="W277" s="48" t="s">
        <v>2171</v>
      </c>
      <c r="X277" t="str">
        <f t="shared" si="29"/>
        <v>Positive</v>
      </c>
    </row>
    <row r="278" spans="1:24" x14ac:dyDescent="0.3">
      <c r="A278" s="6">
        <v>277</v>
      </c>
      <c r="B278" s="46">
        <v>43376</v>
      </c>
      <c r="C278" s="7" t="str">
        <f t="shared" si="24"/>
        <v>2018</v>
      </c>
      <c r="D278" s="7" t="str">
        <f t="shared" si="25"/>
        <v>Oct</v>
      </c>
      <c r="E278" s="46">
        <v>43382</v>
      </c>
      <c r="F278" s="7" t="str">
        <f t="shared" si="26"/>
        <v>Oct</v>
      </c>
      <c r="G278" t="s">
        <v>213</v>
      </c>
      <c r="H278" t="s">
        <v>2172</v>
      </c>
      <c r="I278" t="s">
        <v>330</v>
      </c>
      <c r="J278" s="48" t="s">
        <v>2173</v>
      </c>
      <c r="K278" t="s">
        <v>20</v>
      </c>
      <c r="L278" t="s">
        <v>2174</v>
      </c>
      <c r="N278" s="48" t="s">
        <v>2175</v>
      </c>
      <c r="Q278" s="48" t="s">
        <v>2176</v>
      </c>
      <c r="S278" t="s">
        <v>2162</v>
      </c>
      <c r="T278" s="6" t="str">
        <f t="shared" si="27"/>
        <v>No Progress</v>
      </c>
      <c r="U278" s="48" t="s">
        <v>2177</v>
      </c>
      <c r="V278" t="str">
        <f t="shared" si="28"/>
        <v>workroll.com</v>
      </c>
      <c r="W278" s="48" t="s">
        <v>2178</v>
      </c>
      <c r="X278" t="str">
        <f t="shared" si="29"/>
        <v>Positive</v>
      </c>
    </row>
    <row r="279" spans="1:24" x14ac:dyDescent="0.3">
      <c r="A279" s="6">
        <v>278</v>
      </c>
      <c r="B279" s="46">
        <v>43376</v>
      </c>
      <c r="C279" s="7" t="str">
        <f t="shared" si="24"/>
        <v>2018</v>
      </c>
      <c r="D279" s="7" t="str">
        <f t="shared" si="25"/>
        <v>Oct</v>
      </c>
      <c r="E279" s="46">
        <v>43382</v>
      </c>
      <c r="F279" s="7" t="str">
        <f t="shared" si="26"/>
        <v>Oct</v>
      </c>
      <c r="G279" t="s">
        <v>213</v>
      </c>
      <c r="H279" t="s">
        <v>2179</v>
      </c>
      <c r="I279" t="s">
        <v>175</v>
      </c>
      <c r="J279" s="48" t="s">
        <v>2180</v>
      </c>
      <c r="K279" t="s">
        <v>20</v>
      </c>
      <c r="L279" t="s">
        <v>2181</v>
      </c>
      <c r="M279" t="s">
        <v>2182</v>
      </c>
      <c r="Q279" s="48" t="s">
        <v>2183</v>
      </c>
      <c r="S279" t="s">
        <v>2184</v>
      </c>
      <c r="T279" s="6" t="str">
        <f t="shared" si="27"/>
        <v>No Progress</v>
      </c>
      <c r="U279" s="48" t="s">
        <v>2185</v>
      </c>
      <c r="V279" t="str">
        <f t="shared" si="28"/>
        <v>workroll.com</v>
      </c>
      <c r="W279" s="48" t="s">
        <v>2186</v>
      </c>
      <c r="X279" t="str">
        <f t="shared" si="29"/>
        <v>Neutral</v>
      </c>
    </row>
    <row r="280" spans="1:24" x14ac:dyDescent="0.3">
      <c r="A280" s="6">
        <v>279</v>
      </c>
      <c r="B280" s="46">
        <v>43376</v>
      </c>
      <c r="C280" s="7" t="str">
        <f t="shared" si="24"/>
        <v>2018</v>
      </c>
      <c r="D280" s="7" t="str">
        <f t="shared" si="25"/>
        <v>Oct</v>
      </c>
      <c r="E280" s="46">
        <v>43382</v>
      </c>
      <c r="F280" s="7" t="str">
        <f t="shared" si="26"/>
        <v>Oct</v>
      </c>
      <c r="G280" t="s">
        <v>191</v>
      </c>
      <c r="H280" t="s">
        <v>2187</v>
      </c>
      <c r="J280" s="48" t="s">
        <v>2188</v>
      </c>
      <c r="K280" t="s">
        <v>20</v>
      </c>
      <c r="L280" t="s">
        <v>2189</v>
      </c>
      <c r="N280" s="48" t="s">
        <v>2190</v>
      </c>
      <c r="S280" t="s">
        <v>2162</v>
      </c>
      <c r="T280" s="6" t="str">
        <f t="shared" si="27"/>
        <v>No Progress</v>
      </c>
      <c r="U280" s="48" t="s">
        <v>2191</v>
      </c>
      <c r="V280" t="str">
        <f t="shared" si="28"/>
        <v>weworkremotely.com</v>
      </c>
      <c r="X280" t="str">
        <f t="shared" si="29"/>
        <v>Positive</v>
      </c>
    </row>
    <row r="281" spans="1:24" x14ac:dyDescent="0.3">
      <c r="A281" s="6">
        <v>280</v>
      </c>
      <c r="B281" s="46">
        <v>43376</v>
      </c>
      <c r="C281" s="7" t="str">
        <f t="shared" si="24"/>
        <v>2018</v>
      </c>
      <c r="D281" s="7" t="str">
        <f t="shared" si="25"/>
        <v>Oct</v>
      </c>
      <c r="E281" s="46">
        <v>43382</v>
      </c>
      <c r="F281" s="7" t="str">
        <f t="shared" si="26"/>
        <v>Oct</v>
      </c>
      <c r="G281" t="s">
        <v>2192</v>
      </c>
      <c r="H281" t="s">
        <v>2193</v>
      </c>
      <c r="J281" s="48" t="s">
        <v>2194</v>
      </c>
      <c r="K281" t="s">
        <v>20</v>
      </c>
      <c r="L281" t="s">
        <v>2195</v>
      </c>
      <c r="N281" s="48" t="s">
        <v>2196</v>
      </c>
      <c r="Q281" s="48" t="s">
        <v>2197</v>
      </c>
      <c r="S281" t="s">
        <v>2162</v>
      </c>
      <c r="T281" s="6" t="str">
        <f t="shared" si="27"/>
        <v>No Progress</v>
      </c>
      <c r="U281" s="48" t="s">
        <v>2198</v>
      </c>
      <c r="V281" t="str">
        <f t="shared" si="28"/>
        <v>weworkremotely.com</v>
      </c>
      <c r="W281" s="48" t="s">
        <v>2199</v>
      </c>
      <c r="X281" t="str">
        <f t="shared" si="29"/>
        <v>Positive</v>
      </c>
    </row>
    <row r="282" spans="1:24" x14ac:dyDescent="0.3">
      <c r="A282" s="6">
        <v>281</v>
      </c>
      <c r="B282" s="46">
        <v>43376</v>
      </c>
      <c r="C282" s="7" t="str">
        <f t="shared" si="24"/>
        <v>2018</v>
      </c>
      <c r="D282" s="7" t="str">
        <f t="shared" si="25"/>
        <v>Oct</v>
      </c>
      <c r="E282" s="46">
        <v>43385</v>
      </c>
      <c r="F282" s="7" t="str">
        <f t="shared" si="26"/>
        <v>Oct</v>
      </c>
      <c r="G282" t="s">
        <v>26</v>
      </c>
      <c r="H282" t="s">
        <v>2200</v>
      </c>
      <c r="I282" t="s">
        <v>175</v>
      </c>
      <c r="J282" s="48" t="s">
        <v>2201</v>
      </c>
      <c r="K282" t="s">
        <v>20</v>
      </c>
      <c r="L282" t="s">
        <v>2202</v>
      </c>
      <c r="M282" t="s">
        <v>2203</v>
      </c>
      <c r="N282" s="48" t="s">
        <v>2204</v>
      </c>
      <c r="Q282" s="48" t="s">
        <v>2205</v>
      </c>
      <c r="S282" t="s">
        <v>2206</v>
      </c>
      <c r="T282" s="6" t="str">
        <f t="shared" si="27"/>
        <v>No Progress</v>
      </c>
      <c r="U282" s="48" t="s">
        <v>2198</v>
      </c>
      <c r="V282" t="str">
        <f t="shared" si="28"/>
        <v>weworkremotely.com</v>
      </c>
      <c r="W282" s="48" t="s">
        <v>2207</v>
      </c>
      <c r="X282" t="str">
        <f t="shared" si="29"/>
        <v>Positive</v>
      </c>
    </row>
    <row r="283" spans="1:24" x14ac:dyDescent="0.3">
      <c r="A283" s="6">
        <v>282</v>
      </c>
      <c r="B283" s="50">
        <v>43376</v>
      </c>
      <c r="C283" s="7" t="str">
        <f t="shared" si="24"/>
        <v>2018</v>
      </c>
      <c r="D283" s="7" t="str">
        <f t="shared" si="25"/>
        <v>Oct</v>
      </c>
      <c r="E283" s="50">
        <v>43377</v>
      </c>
      <c r="F283" s="7" t="str">
        <f t="shared" si="26"/>
        <v>Oct</v>
      </c>
      <c r="G283" s="49" t="s">
        <v>26</v>
      </c>
      <c r="H283" s="49" t="s">
        <v>2208</v>
      </c>
      <c r="I283" s="49" t="s">
        <v>1188</v>
      </c>
      <c r="J283" s="51" t="s">
        <v>2209</v>
      </c>
      <c r="K283" s="49" t="s">
        <v>20</v>
      </c>
      <c r="L283" s="49" t="s">
        <v>2210</v>
      </c>
      <c r="M283" s="49"/>
      <c r="N283" s="51" t="s">
        <v>2211</v>
      </c>
      <c r="O283" s="49"/>
      <c r="P283" s="49"/>
      <c r="Q283" s="51" t="s">
        <v>2212</v>
      </c>
      <c r="R283" s="49"/>
      <c r="S283" s="49" t="s">
        <v>2213</v>
      </c>
      <c r="T283" s="6" t="str">
        <f t="shared" si="27"/>
        <v>Warm</v>
      </c>
      <c r="U283" s="51" t="s">
        <v>2209</v>
      </c>
      <c r="V283" t="e">
        <f t="shared" si="28"/>
        <v>#VALUE!</v>
      </c>
      <c r="W283" s="51" t="s">
        <v>2214</v>
      </c>
      <c r="X283" t="str">
        <f t="shared" si="29"/>
        <v>Positive</v>
      </c>
    </row>
    <row r="284" spans="1:24" x14ac:dyDescent="0.3">
      <c r="A284" s="6">
        <v>283</v>
      </c>
      <c r="B284" s="46">
        <v>43376</v>
      </c>
      <c r="C284" s="7" t="str">
        <f t="shared" si="24"/>
        <v>2018</v>
      </c>
      <c r="D284" s="7" t="str">
        <f t="shared" si="25"/>
        <v>Oct</v>
      </c>
      <c r="E284" s="46">
        <v>43376</v>
      </c>
      <c r="F284" s="7" t="str">
        <f t="shared" si="26"/>
        <v>Oct</v>
      </c>
      <c r="G284" t="s">
        <v>490</v>
      </c>
      <c r="H284" t="s">
        <v>2215</v>
      </c>
      <c r="I284" t="s">
        <v>1421</v>
      </c>
      <c r="J284" s="48" t="s">
        <v>2216</v>
      </c>
      <c r="K284" t="s">
        <v>20</v>
      </c>
      <c r="L284" t="s">
        <v>2217</v>
      </c>
      <c r="M284" t="s">
        <v>2218</v>
      </c>
      <c r="N284" s="48" t="s">
        <v>2219</v>
      </c>
      <c r="S284" t="s">
        <v>2220</v>
      </c>
      <c r="T284" s="6" t="str">
        <f t="shared" si="27"/>
        <v>No Progress</v>
      </c>
      <c r="U284" s="48" t="s">
        <v>2221</v>
      </c>
      <c r="V284" t="str">
        <f t="shared" si="28"/>
        <v>workinstartups.com</v>
      </c>
      <c r="W284" s="48" t="s">
        <v>2222</v>
      </c>
      <c r="X284" t="str">
        <f t="shared" si="29"/>
        <v>Positive</v>
      </c>
    </row>
    <row r="285" spans="1:24" x14ac:dyDescent="0.3">
      <c r="A285" s="6">
        <v>284</v>
      </c>
      <c r="B285" s="46">
        <v>43377</v>
      </c>
      <c r="C285" s="7" t="str">
        <f t="shared" si="24"/>
        <v>2018</v>
      </c>
      <c r="D285" s="7" t="str">
        <f t="shared" si="25"/>
        <v>Oct</v>
      </c>
      <c r="E285" s="46">
        <v>43385</v>
      </c>
      <c r="F285" s="7" t="str">
        <f t="shared" si="26"/>
        <v>Oct</v>
      </c>
      <c r="G285" t="s">
        <v>490</v>
      </c>
      <c r="H285" t="s">
        <v>2223</v>
      </c>
      <c r="I285" t="s">
        <v>2224</v>
      </c>
      <c r="J285" s="48" t="s">
        <v>2225</v>
      </c>
      <c r="K285" t="s">
        <v>20</v>
      </c>
      <c r="L285" t="s">
        <v>2226</v>
      </c>
      <c r="N285" s="48" t="s">
        <v>2227</v>
      </c>
      <c r="S285" t="s">
        <v>2228</v>
      </c>
      <c r="T285" s="6" t="str">
        <f t="shared" si="27"/>
        <v>No Progress</v>
      </c>
      <c r="U285" s="48" t="s">
        <v>2229</v>
      </c>
      <c r="V285" t="str">
        <f t="shared" si="28"/>
        <v>workinstartups.com</v>
      </c>
      <c r="W285" s="48" t="s">
        <v>2230</v>
      </c>
      <c r="X285" t="str">
        <f t="shared" si="29"/>
        <v>Positive</v>
      </c>
    </row>
    <row r="286" spans="1:24" x14ac:dyDescent="0.3">
      <c r="A286" s="6">
        <v>285</v>
      </c>
      <c r="B286" s="46">
        <v>43381</v>
      </c>
      <c r="C286" s="7" t="str">
        <f t="shared" si="24"/>
        <v>2018</v>
      </c>
      <c r="D286" s="7" t="str">
        <f t="shared" si="25"/>
        <v>Oct</v>
      </c>
      <c r="E286" s="46">
        <v>43385</v>
      </c>
      <c r="F286" s="7" t="str">
        <f t="shared" si="26"/>
        <v>Oct</v>
      </c>
      <c r="G286" t="s">
        <v>17</v>
      </c>
      <c r="H286" t="s">
        <v>2231</v>
      </c>
      <c r="I286" t="s">
        <v>2232</v>
      </c>
      <c r="J286" s="48" t="s">
        <v>2233</v>
      </c>
      <c r="K286" t="s">
        <v>20</v>
      </c>
      <c r="L286" t="s">
        <v>2234</v>
      </c>
      <c r="M286" t="s">
        <v>2235</v>
      </c>
      <c r="N286" s="48" t="s">
        <v>2236</v>
      </c>
      <c r="Q286" s="48" t="s">
        <v>2237</v>
      </c>
      <c r="S286" t="s">
        <v>2238</v>
      </c>
      <c r="T286" s="6" t="str">
        <f t="shared" si="27"/>
        <v>No Progress</v>
      </c>
      <c r="U286" s="48" t="s">
        <v>2239</v>
      </c>
      <c r="V286" t="str">
        <f t="shared" si="28"/>
        <v>startupjobs.asia</v>
      </c>
      <c r="W286" s="48" t="s">
        <v>2240</v>
      </c>
      <c r="X286" t="str">
        <f t="shared" si="29"/>
        <v>Negative</v>
      </c>
    </row>
    <row r="287" spans="1:24" x14ac:dyDescent="0.3">
      <c r="A287" s="6">
        <v>286</v>
      </c>
      <c r="B287" s="45">
        <v>43381</v>
      </c>
      <c r="C287" s="7" t="str">
        <f t="shared" si="24"/>
        <v>2018</v>
      </c>
      <c r="D287" s="7" t="str">
        <f t="shared" si="25"/>
        <v>Oct</v>
      </c>
      <c r="E287" s="45">
        <v>43385</v>
      </c>
      <c r="F287" s="7" t="str">
        <f t="shared" si="26"/>
        <v>Oct</v>
      </c>
      <c r="G287" s="37" t="s">
        <v>32</v>
      </c>
      <c r="H287" s="37" t="s">
        <v>2241</v>
      </c>
      <c r="I287" s="37" t="s">
        <v>1188</v>
      </c>
      <c r="J287" s="43" t="s">
        <v>2242</v>
      </c>
      <c r="K287" s="37" t="s">
        <v>20</v>
      </c>
      <c r="L287" s="37" t="s">
        <v>2243</v>
      </c>
      <c r="M287" s="37" t="s">
        <v>2244</v>
      </c>
      <c r="N287" s="43" t="s">
        <v>2245</v>
      </c>
      <c r="O287" s="37"/>
      <c r="P287" s="37"/>
      <c r="Q287" s="43" t="s">
        <v>2246</v>
      </c>
      <c r="R287" s="43" t="s">
        <v>2247</v>
      </c>
      <c r="S287" s="37" t="s">
        <v>2248</v>
      </c>
      <c r="T287" s="6" t="str">
        <f t="shared" si="27"/>
        <v>Cold</v>
      </c>
      <c r="U287" s="43" t="s">
        <v>2249</v>
      </c>
      <c r="V287" t="str">
        <f t="shared" si="28"/>
        <v>startupjobs.asia</v>
      </c>
      <c r="W287" s="43" t="s">
        <v>2250</v>
      </c>
      <c r="X287" t="str">
        <f t="shared" si="29"/>
        <v>Negative</v>
      </c>
    </row>
    <row r="288" spans="1:24" x14ac:dyDescent="0.3">
      <c r="A288" s="6">
        <v>287</v>
      </c>
      <c r="B288" s="46">
        <v>43381</v>
      </c>
      <c r="C288" s="7" t="str">
        <f t="shared" si="24"/>
        <v>2018</v>
      </c>
      <c r="D288" s="7" t="str">
        <f t="shared" si="25"/>
        <v>Oct</v>
      </c>
      <c r="E288" s="46">
        <v>43385</v>
      </c>
      <c r="F288" s="7" t="str">
        <f t="shared" si="26"/>
        <v>Oct</v>
      </c>
      <c r="G288" t="s">
        <v>32</v>
      </c>
      <c r="H288" t="s">
        <v>2251</v>
      </c>
      <c r="I288" t="s">
        <v>1188</v>
      </c>
      <c r="J288" s="48" t="s">
        <v>2252</v>
      </c>
      <c r="K288" t="s">
        <v>20</v>
      </c>
      <c r="L288" t="s">
        <v>2253</v>
      </c>
      <c r="M288" t="s">
        <v>2254</v>
      </c>
      <c r="N288" s="48" t="s">
        <v>2255</v>
      </c>
      <c r="S288" t="s">
        <v>2256</v>
      </c>
      <c r="T288" s="6" t="str">
        <f t="shared" si="27"/>
        <v>No Progress</v>
      </c>
      <c r="U288" s="48" t="s">
        <v>2257</v>
      </c>
      <c r="V288" t="str">
        <f t="shared" si="28"/>
        <v>startupjobs.asia</v>
      </c>
      <c r="W288" s="48" t="s">
        <v>2258</v>
      </c>
      <c r="X288" t="str">
        <f t="shared" si="29"/>
        <v>Positive</v>
      </c>
    </row>
    <row r="289" spans="1:24" x14ac:dyDescent="0.3">
      <c r="A289" s="6">
        <v>288</v>
      </c>
      <c r="B289" s="69">
        <v>43381</v>
      </c>
      <c r="C289" s="7" t="str">
        <f t="shared" si="24"/>
        <v>2018</v>
      </c>
      <c r="D289" s="7" t="str">
        <f t="shared" si="25"/>
        <v>Oct</v>
      </c>
      <c r="E289" s="69">
        <v>43383</v>
      </c>
      <c r="F289" s="7" t="str">
        <f t="shared" si="26"/>
        <v>Oct</v>
      </c>
      <c r="G289" s="65" t="s">
        <v>32</v>
      </c>
      <c r="H289" s="65" t="s">
        <v>2259</v>
      </c>
      <c r="I289" s="65" t="s">
        <v>427</v>
      </c>
      <c r="J289" s="70" t="s">
        <v>2260</v>
      </c>
      <c r="K289" s="65" t="s">
        <v>20</v>
      </c>
      <c r="L289" s="65" t="s">
        <v>2261</v>
      </c>
      <c r="M289" s="65"/>
      <c r="N289" s="70" t="s">
        <v>2262</v>
      </c>
      <c r="O289" s="65"/>
      <c r="P289" s="65"/>
      <c r="Q289" s="65"/>
      <c r="R289" s="65"/>
      <c r="S289" s="65" t="s">
        <v>2263</v>
      </c>
      <c r="T289" s="6" t="str">
        <f t="shared" si="27"/>
        <v>Hot</v>
      </c>
      <c r="U289" s="70" t="s">
        <v>2264</v>
      </c>
      <c r="V289" t="str">
        <f t="shared" si="28"/>
        <v>startupjobs.asia</v>
      </c>
      <c r="W289" s="70" t="s">
        <v>2265</v>
      </c>
      <c r="X289" t="str">
        <f t="shared" si="29"/>
        <v>Positive</v>
      </c>
    </row>
    <row r="290" spans="1:24" x14ac:dyDescent="0.3">
      <c r="A290" s="6">
        <v>289</v>
      </c>
      <c r="B290" s="46">
        <v>43381</v>
      </c>
      <c r="C290" s="7" t="str">
        <f t="shared" si="24"/>
        <v>2018</v>
      </c>
      <c r="D290" s="7" t="str">
        <f t="shared" si="25"/>
        <v>Oct</v>
      </c>
      <c r="E290" s="46">
        <v>43383</v>
      </c>
      <c r="F290" s="7" t="str">
        <f t="shared" si="26"/>
        <v>Oct</v>
      </c>
      <c r="G290" t="s">
        <v>17</v>
      </c>
      <c r="H290" t="s">
        <v>2266</v>
      </c>
      <c r="I290" t="s">
        <v>1188</v>
      </c>
      <c r="J290" s="48" t="s">
        <v>2267</v>
      </c>
      <c r="K290" t="s">
        <v>20</v>
      </c>
      <c r="L290" t="s">
        <v>2268</v>
      </c>
      <c r="N290" s="48" t="s">
        <v>2269</v>
      </c>
      <c r="S290" t="s">
        <v>2270</v>
      </c>
      <c r="T290" s="6" t="str">
        <f t="shared" si="27"/>
        <v>No Progress</v>
      </c>
      <c r="U290" s="48" t="s">
        <v>2271</v>
      </c>
      <c r="V290" t="str">
        <f t="shared" si="28"/>
        <v>startupjobs.asia</v>
      </c>
      <c r="W290" s="48" t="s">
        <v>2272</v>
      </c>
      <c r="X290" t="str">
        <f t="shared" si="29"/>
        <v>Positive</v>
      </c>
    </row>
    <row r="291" spans="1:24" x14ac:dyDescent="0.3">
      <c r="A291" s="6">
        <v>290</v>
      </c>
      <c r="B291" s="46">
        <v>43381</v>
      </c>
      <c r="C291" s="7" t="str">
        <f t="shared" si="24"/>
        <v>2018</v>
      </c>
      <c r="D291" s="7" t="str">
        <f t="shared" si="25"/>
        <v>Oct</v>
      </c>
      <c r="E291" s="46">
        <v>43383</v>
      </c>
      <c r="F291" s="7" t="str">
        <f t="shared" si="26"/>
        <v>Oct</v>
      </c>
      <c r="G291" t="s">
        <v>17</v>
      </c>
      <c r="H291" t="s">
        <v>2273</v>
      </c>
      <c r="I291" t="s">
        <v>1188</v>
      </c>
      <c r="J291" s="48" t="s">
        <v>2274</v>
      </c>
      <c r="K291" t="s">
        <v>20</v>
      </c>
      <c r="L291" s="47" t="s">
        <v>2275</v>
      </c>
      <c r="N291" s="48" t="s">
        <v>2276</v>
      </c>
      <c r="S291" t="s">
        <v>2277</v>
      </c>
      <c r="T291" s="6" t="str">
        <f t="shared" si="27"/>
        <v>No Progress</v>
      </c>
      <c r="U291" s="48" t="s">
        <v>2278</v>
      </c>
      <c r="V291" t="str">
        <f t="shared" si="28"/>
        <v>www.techinasia.com</v>
      </c>
      <c r="W291" s="48" t="s">
        <v>2279</v>
      </c>
      <c r="X291" t="str">
        <f t="shared" si="29"/>
        <v>Positive</v>
      </c>
    </row>
    <row r="292" spans="1:24" x14ac:dyDescent="0.3">
      <c r="A292" s="6">
        <v>291</v>
      </c>
      <c r="B292" s="46">
        <v>43381</v>
      </c>
      <c r="C292" s="7" t="str">
        <f t="shared" si="24"/>
        <v>2018</v>
      </c>
      <c r="D292" s="7" t="str">
        <f t="shared" si="25"/>
        <v>Oct</v>
      </c>
      <c r="E292" s="46">
        <v>43383</v>
      </c>
      <c r="F292" s="7" t="str">
        <f t="shared" si="26"/>
        <v>Oct</v>
      </c>
      <c r="G292" t="s">
        <v>26</v>
      </c>
      <c r="H292" t="s">
        <v>2280</v>
      </c>
      <c r="I292" t="s">
        <v>1111</v>
      </c>
      <c r="J292" s="48" t="s">
        <v>2281</v>
      </c>
      <c r="K292" t="s">
        <v>20</v>
      </c>
      <c r="L292" t="s">
        <v>2282</v>
      </c>
      <c r="N292" s="48" t="s">
        <v>2283</v>
      </c>
      <c r="S292" t="s">
        <v>2270</v>
      </c>
      <c r="T292" s="6" t="str">
        <f t="shared" si="27"/>
        <v>No Progress</v>
      </c>
      <c r="U292" s="48" t="s">
        <v>2284</v>
      </c>
      <c r="V292" t="str">
        <f t="shared" si="28"/>
        <v>www.f6s.com</v>
      </c>
      <c r="W292" s="48" t="s">
        <v>2285</v>
      </c>
      <c r="X292" t="str">
        <f t="shared" si="29"/>
        <v>Positive</v>
      </c>
    </row>
    <row r="293" spans="1:24" x14ac:dyDescent="0.3">
      <c r="A293" s="6">
        <v>292</v>
      </c>
      <c r="B293" s="46">
        <v>43381</v>
      </c>
      <c r="C293" s="7" t="str">
        <f t="shared" si="24"/>
        <v>2018</v>
      </c>
      <c r="D293" s="7" t="str">
        <f t="shared" si="25"/>
        <v>Oct</v>
      </c>
      <c r="E293" s="46">
        <v>43381</v>
      </c>
      <c r="F293" s="7" t="str">
        <f t="shared" si="26"/>
        <v>Oct</v>
      </c>
      <c r="G293" t="s">
        <v>748</v>
      </c>
      <c r="H293" t="s">
        <v>2286</v>
      </c>
      <c r="K293" t="s">
        <v>20</v>
      </c>
      <c r="L293" t="s">
        <v>2287</v>
      </c>
      <c r="S293" t="s">
        <v>2288</v>
      </c>
      <c r="T293" s="6" t="str">
        <f t="shared" si="27"/>
        <v>No Progress</v>
      </c>
      <c r="U293" s="48" t="s">
        <v>2289</v>
      </c>
      <c r="V293" t="str">
        <f t="shared" si="28"/>
        <v>www.f6s.com</v>
      </c>
      <c r="X293" t="str">
        <f t="shared" si="29"/>
        <v>Neutral</v>
      </c>
    </row>
    <row r="294" spans="1:24" x14ac:dyDescent="0.3">
      <c r="A294" s="6">
        <v>293</v>
      </c>
      <c r="B294" s="45">
        <v>43381</v>
      </c>
      <c r="C294" s="7" t="str">
        <f t="shared" si="24"/>
        <v>2018</v>
      </c>
      <c r="D294" s="7" t="str">
        <f t="shared" si="25"/>
        <v>Oct</v>
      </c>
      <c r="E294" s="45">
        <v>43381</v>
      </c>
      <c r="F294" s="7" t="str">
        <f t="shared" si="26"/>
        <v>Oct</v>
      </c>
      <c r="G294" s="37" t="s">
        <v>2067</v>
      </c>
      <c r="H294" s="37" t="s">
        <v>2290</v>
      </c>
      <c r="I294" s="37" t="s">
        <v>330</v>
      </c>
      <c r="J294" s="55" t="s">
        <v>2291</v>
      </c>
      <c r="K294" s="37" t="s">
        <v>20</v>
      </c>
      <c r="L294" s="37" t="s">
        <v>2292</v>
      </c>
      <c r="M294" s="37"/>
      <c r="N294" s="37"/>
      <c r="O294" s="37"/>
      <c r="P294" s="37"/>
      <c r="Q294" s="37"/>
      <c r="R294" s="37"/>
      <c r="S294" s="37" t="s">
        <v>2293</v>
      </c>
      <c r="T294" s="6" t="str">
        <f t="shared" si="27"/>
        <v>Cold</v>
      </c>
      <c r="U294" s="55" t="s">
        <v>2294</v>
      </c>
      <c r="V294" t="str">
        <f t="shared" si="28"/>
        <v>workinstartups.com</v>
      </c>
      <c r="W294" s="55" t="s">
        <v>2295</v>
      </c>
      <c r="X294" t="str">
        <f t="shared" si="29"/>
        <v>Neutral</v>
      </c>
    </row>
    <row r="295" spans="1:24" x14ac:dyDescent="0.3">
      <c r="A295" s="6">
        <v>294</v>
      </c>
      <c r="B295" s="46">
        <v>43381</v>
      </c>
      <c r="C295" s="7" t="str">
        <f t="shared" si="24"/>
        <v>2018</v>
      </c>
      <c r="D295" s="7" t="str">
        <f t="shared" si="25"/>
        <v>Oct</v>
      </c>
      <c r="E295" s="46">
        <v>43383</v>
      </c>
      <c r="F295" s="7" t="str">
        <f t="shared" si="26"/>
        <v>Oct</v>
      </c>
      <c r="G295" t="s">
        <v>2067</v>
      </c>
      <c r="H295" t="s">
        <v>2296</v>
      </c>
      <c r="I295" t="s">
        <v>2224</v>
      </c>
      <c r="J295" s="48" t="s">
        <v>2297</v>
      </c>
      <c r="K295" t="s">
        <v>20</v>
      </c>
      <c r="L295" t="s">
        <v>2298</v>
      </c>
      <c r="N295" s="48" t="s">
        <v>2299</v>
      </c>
      <c r="Q295" s="48" t="s">
        <v>2300</v>
      </c>
      <c r="S295" t="s">
        <v>2270</v>
      </c>
      <c r="T295" s="6" t="str">
        <f t="shared" si="27"/>
        <v>No Progress</v>
      </c>
      <c r="U295" s="48" t="s">
        <v>2301</v>
      </c>
      <c r="V295" t="str">
        <f t="shared" si="28"/>
        <v>workinstartups.com</v>
      </c>
      <c r="W295" s="48" t="s">
        <v>2302</v>
      </c>
      <c r="X295" t="str">
        <f t="shared" si="29"/>
        <v>Positive</v>
      </c>
    </row>
    <row r="296" spans="1:24" x14ac:dyDescent="0.3">
      <c r="A296" s="6">
        <v>295</v>
      </c>
      <c r="B296" s="45">
        <v>43382</v>
      </c>
      <c r="C296" s="7" t="str">
        <f t="shared" si="24"/>
        <v>2018</v>
      </c>
      <c r="D296" s="7" t="str">
        <f t="shared" si="25"/>
        <v>Oct</v>
      </c>
      <c r="E296" s="45">
        <v>43385</v>
      </c>
      <c r="F296" s="7" t="str">
        <f t="shared" si="26"/>
        <v>Oct</v>
      </c>
      <c r="G296" s="37" t="s">
        <v>76</v>
      </c>
      <c r="H296" s="37" t="s">
        <v>2303</v>
      </c>
      <c r="I296" s="37" t="s">
        <v>1188</v>
      </c>
      <c r="J296" s="43" t="s">
        <v>2304</v>
      </c>
      <c r="K296" s="37" t="s">
        <v>20</v>
      </c>
      <c r="L296" s="37" t="s">
        <v>2305</v>
      </c>
      <c r="M296" s="37" t="s">
        <v>2306</v>
      </c>
      <c r="N296" s="43" t="s">
        <v>2307</v>
      </c>
      <c r="O296" s="37"/>
      <c r="P296" s="37"/>
      <c r="Q296" s="43" t="s">
        <v>2308</v>
      </c>
      <c r="R296" s="37"/>
      <c r="S296" s="37" t="s">
        <v>2309</v>
      </c>
      <c r="T296" s="6" t="str">
        <f t="shared" si="27"/>
        <v>Cold</v>
      </c>
      <c r="U296" s="43" t="s">
        <v>2310</v>
      </c>
      <c r="V296" t="str">
        <f t="shared" si="28"/>
        <v>www.f6s.com</v>
      </c>
      <c r="W296" s="43" t="s">
        <v>2311</v>
      </c>
      <c r="X296" t="str">
        <f t="shared" si="29"/>
        <v>Negative</v>
      </c>
    </row>
    <row r="297" spans="1:24" x14ac:dyDescent="0.3">
      <c r="A297" s="6">
        <v>296</v>
      </c>
      <c r="B297" s="46">
        <v>43382</v>
      </c>
      <c r="C297" s="7" t="str">
        <f t="shared" si="24"/>
        <v>2018</v>
      </c>
      <c r="D297" s="7" t="str">
        <f t="shared" si="25"/>
        <v>Oct</v>
      </c>
      <c r="E297" s="46">
        <v>43385</v>
      </c>
      <c r="F297" s="7" t="str">
        <f t="shared" si="26"/>
        <v>Oct</v>
      </c>
      <c r="G297" t="s">
        <v>2067</v>
      </c>
      <c r="H297" t="s">
        <v>2312</v>
      </c>
      <c r="I297" t="s">
        <v>1862</v>
      </c>
      <c r="J297" s="48" t="s">
        <v>2313</v>
      </c>
      <c r="K297" t="s">
        <v>20</v>
      </c>
      <c r="L297" t="s">
        <v>2314</v>
      </c>
      <c r="N297" s="48" t="s">
        <v>2315</v>
      </c>
      <c r="Q297" s="48" t="s">
        <v>2316</v>
      </c>
      <c r="S297" t="s">
        <v>2317</v>
      </c>
      <c r="T297" s="6" t="str">
        <f t="shared" si="27"/>
        <v>No Progress</v>
      </c>
      <c r="U297" s="48" t="s">
        <v>2318</v>
      </c>
      <c r="V297" t="str">
        <f t="shared" si="28"/>
        <v>workinstartups.com</v>
      </c>
      <c r="W297" s="48" t="s">
        <v>2319</v>
      </c>
      <c r="X297" t="str">
        <f t="shared" si="29"/>
        <v>Positive</v>
      </c>
    </row>
    <row r="298" spans="1:24" x14ac:dyDescent="0.3">
      <c r="A298" s="6">
        <v>297</v>
      </c>
      <c r="B298" s="46">
        <v>43382</v>
      </c>
      <c r="C298" s="7" t="str">
        <f t="shared" si="24"/>
        <v>2018</v>
      </c>
      <c r="D298" s="7" t="str">
        <f t="shared" si="25"/>
        <v>Oct</v>
      </c>
      <c r="E298" s="46">
        <v>43385</v>
      </c>
      <c r="F298" s="7" t="str">
        <f t="shared" si="26"/>
        <v>Oct</v>
      </c>
      <c r="G298" t="s">
        <v>2067</v>
      </c>
      <c r="H298" t="s">
        <v>2320</v>
      </c>
      <c r="I298" t="s">
        <v>580</v>
      </c>
      <c r="J298" s="48" t="s">
        <v>2321</v>
      </c>
      <c r="K298" t="s">
        <v>20</v>
      </c>
      <c r="L298" t="s">
        <v>2322</v>
      </c>
      <c r="M298" t="s">
        <v>2323</v>
      </c>
      <c r="N298" s="48" t="s">
        <v>2324</v>
      </c>
      <c r="Q298" s="48" t="s">
        <v>2325</v>
      </c>
      <c r="S298" t="s">
        <v>2326</v>
      </c>
      <c r="T298" s="6" t="str">
        <f t="shared" si="27"/>
        <v>No Progress</v>
      </c>
      <c r="U298" s="48" t="s">
        <v>2327</v>
      </c>
      <c r="V298" t="str">
        <f t="shared" si="28"/>
        <v>workinstartups.com</v>
      </c>
      <c r="W298" s="48" t="s">
        <v>2328</v>
      </c>
      <c r="X298" t="str">
        <f t="shared" si="29"/>
        <v>Negative</v>
      </c>
    </row>
    <row r="299" spans="1:24" x14ac:dyDescent="0.3">
      <c r="A299" s="6">
        <v>298</v>
      </c>
      <c r="B299" s="46">
        <v>43382</v>
      </c>
      <c r="C299" s="7" t="str">
        <f t="shared" si="24"/>
        <v>2018</v>
      </c>
      <c r="D299" s="7" t="str">
        <f t="shared" si="25"/>
        <v>Oct</v>
      </c>
      <c r="E299" s="46">
        <v>43385</v>
      </c>
      <c r="F299" s="7" t="str">
        <f t="shared" si="26"/>
        <v>Oct</v>
      </c>
      <c r="G299" t="s">
        <v>2067</v>
      </c>
      <c r="H299" t="s">
        <v>2329</v>
      </c>
      <c r="I299" t="s">
        <v>626</v>
      </c>
      <c r="J299" s="48" t="s">
        <v>2330</v>
      </c>
      <c r="K299" t="s">
        <v>20</v>
      </c>
      <c r="L299" t="s">
        <v>2331</v>
      </c>
      <c r="M299" s="56" t="s">
        <v>2332</v>
      </c>
      <c r="N299" s="48" t="s">
        <v>2333</v>
      </c>
      <c r="S299" t="s">
        <v>2326</v>
      </c>
      <c r="T299" s="6" t="str">
        <f t="shared" si="27"/>
        <v>No Progress</v>
      </c>
      <c r="U299" s="48" t="s">
        <v>2334</v>
      </c>
      <c r="V299" t="str">
        <f t="shared" si="28"/>
        <v>workinstartups.com</v>
      </c>
      <c r="W299" s="48" t="s">
        <v>2335</v>
      </c>
      <c r="X299" t="str">
        <f t="shared" si="29"/>
        <v>Negative</v>
      </c>
    </row>
    <row r="300" spans="1:24" x14ac:dyDescent="0.3">
      <c r="A300" s="6">
        <v>299</v>
      </c>
      <c r="B300" s="50">
        <v>43382</v>
      </c>
      <c r="C300" s="7" t="str">
        <f t="shared" si="24"/>
        <v>2018</v>
      </c>
      <c r="D300" s="7" t="str">
        <f t="shared" si="25"/>
        <v>Oct</v>
      </c>
      <c r="E300" s="50">
        <v>43383</v>
      </c>
      <c r="F300" s="7" t="str">
        <f t="shared" si="26"/>
        <v>Oct</v>
      </c>
      <c r="G300" s="49" t="s">
        <v>2067</v>
      </c>
      <c r="H300" s="49" t="s">
        <v>2336</v>
      </c>
      <c r="I300" s="49" t="s">
        <v>1188</v>
      </c>
      <c r="J300" s="51" t="s">
        <v>2337</v>
      </c>
      <c r="K300" s="49" t="s">
        <v>20</v>
      </c>
      <c r="L300" s="49" t="s">
        <v>2338</v>
      </c>
      <c r="M300" s="49" t="s">
        <v>2339</v>
      </c>
      <c r="N300" s="51" t="s">
        <v>2340</v>
      </c>
      <c r="O300" s="49"/>
      <c r="P300" s="49"/>
      <c r="Q300" s="51" t="s">
        <v>2341</v>
      </c>
      <c r="R300" s="49"/>
      <c r="S300" s="49" t="s">
        <v>2342</v>
      </c>
      <c r="T300" s="6" t="str">
        <f t="shared" si="27"/>
        <v>Warm</v>
      </c>
      <c r="U300" s="51" t="s">
        <v>2343</v>
      </c>
      <c r="V300" t="str">
        <f t="shared" si="28"/>
        <v>workinstartups.com</v>
      </c>
      <c r="W300" s="51" t="s">
        <v>2344</v>
      </c>
      <c r="X300" t="str">
        <f t="shared" si="29"/>
        <v>Positive</v>
      </c>
    </row>
    <row r="301" spans="1:24" x14ac:dyDescent="0.3">
      <c r="A301" s="6">
        <v>300</v>
      </c>
      <c r="B301" s="46">
        <v>43382</v>
      </c>
      <c r="C301" s="7" t="str">
        <f t="shared" si="24"/>
        <v>2018</v>
      </c>
      <c r="D301" s="7" t="str">
        <f t="shared" si="25"/>
        <v>Oct</v>
      </c>
      <c r="E301" s="46">
        <v>43383</v>
      </c>
      <c r="F301" s="7" t="str">
        <f t="shared" si="26"/>
        <v>Oct</v>
      </c>
      <c r="G301" t="s">
        <v>2067</v>
      </c>
      <c r="H301" t="s">
        <v>2345</v>
      </c>
      <c r="I301" t="s">
        <v>175</v>
      </c>
      <c r="J301" s="48" t="s">
        <v>2346</v>
      </c>
      <c r="K301" t="s">
        <v>20</v>
      </c>
      <c r="L301" s="47" t="s">
        <v>2347</v>
      </c>
      <c r="M301" t="s">
        <v>2348</v>
      </c>
      <c r="N301" s="48" t="s">
        <v>2349</v>
      </c>
      <c r="Q301" s="48" t="s">
        <v>2350</v>
      </c>
      <c r="S301" t="s">
        <v>2351</v>
      </c>
      <c r="T301" s="6" t="str">
        <f t="shared" si="27"/>
        <v>No Progress</v>
      </c>
      <c r="U301" s="48" t="s">
        <v>2352</v>
      </c>
      <c r="V301" t="str">
        <f t="shared" si="28"/>
        <v>workinstartups.com</v>
      </c>
      <c r="W301" s="48" t="s">
        <v>2353</v>
      </c>
      <c r="X301" t="str">
        <f t="shared" si="29"/>
        <v>Negative</v>
      </c>
    </row>
    <row r="302" spans="1:24" x14ac:dyDescent="0.3">
      <c r="A302" s="6">
        <v>301</v>
      </c>
      <c r="B302" s="45">
        <v>43382</v>
      </c>
      <c r="C302" s="7" t="str">
        <f t="shared" si="24"/>
        <v>2018</v>
      </c>
      <c r="D302" s="7" t="str">
        <f t="shared" si="25"/>
        <v>Oct</v>
      </c>
      <c r="E302" s="45">
        <v>43382</v>
      </c>
      <c r="F302" s="7" t="str">
        <f t="shared" si="26"/>
        <v>Oct</v>
      </c>
      <c r="G302" s="37" t="s">
        <v>2067</v>
      </c>
      <c r="H302" s="37" t="s">
        <v>2354</v>
      </c>
      <c r="I302" s="37" t="s">
        <v>119</v>
      </c>
      <c r="J302" s="43" t="s">
        <v>2355</v>
      </c>
      <c r="K302" s="37" t="s">
        <v>20</v>
      </c>
      <c r="L302" s="37" t="s">
        <v>2356</v>
      </c>
      <c r="M302" s="37" t="s">
        <v>2357</v>
      </c>
      <c r="N302" s="43" t="s">
        <v>2358</v>
      </c>
      <c r="O302" s="37"/>
      <c r="P302" s="37"/>
      <c r="Q302" s="37"/>
      <c r="R302" s="37"/>
      <c r="S302" s="37" t="s">
        <v>2359</v>
      </c>
      <c r="T302" s="6" t="str">
        <f t="shared" si="27"/>
        <v>Cold</v>
      </c>
      <c r="U302" s="43" t="s">
        <v>2360</v>
      </c>
      <c r="V302" t="str">
        <f t="shared" si="28"/>
        <v>workinstartups.com</v>
      </c>
      <c r="W302" s="43" t="s">
        <v>2361</v>
      </c>
      <c r="X302" t="str">
        <f t="shared" si="29"/>
        <v>Negative</v>
      </c>
    </row>
    <row r="303" spans="1:24" x14ac:dyDescent="0.3">
      <c r="A303" s="6">
        <v>302</v>
      </c>
      <c r="B303" s="46">
        <v>43382</v>
      </c>
      <c r="C303" s="7" t="str">
        <f t="shared" si="24"/>
        <v>2018</v>
      </c>
      <c r="D303" s="7" t="str">
        <f t="shared" si="25"/>
        <v>Oct</v>
      </c>
      <c r="E303" s="46">
        <v>43382</v>
      </c>
      <c r="F303" s="7" t="str">
        <f t="shared" si="26"/>
        <v>Oct</v>
      </c>
      <c r="G303" t="s">
        <v>2067</v>
      </c>
      <c r="H303" t="s">
        <v>2362</v>
      </c>
      <c r="I303" t="s">
        <v>119</v>
      </c>
      <c r="J303" s="48" t="s">
        <v>2363</v>
      </c>
      <c r="K303" t="s">
        <v>20</v>
      </c>
      <c r="L303" t="s">
        <v>2364</v>
      </c>
      <c r="S303" t="s">
        <v>2365</v>
      </c>
      <c r="T303" s="6" t="str">
        <f t="shared" si="27"/>
        <v>No Progress</v>
      </c>
      <c r="U303" s="48" t="s">
        <v>2366</v>
      </c>
      <c r="V303" t="str">
        <f t="shared" si="28"/>
        <v>workinstartups.com</v>
      </c>
      <c r="W303" s="48" t="s">
        <v>2367</v>
      </c>
      <c r="X303" t="str">
        <f t="shared" si="29"/>
        <v>Neutral</v>
      </c>
    </row>
    <row r="304" spans="1:24" x14ac:dyDescent="0.3">
      <c r="A304" s="6">
        <v>303</v>
      </c>
      <c r="B304" s="46">
        <v>43382</v>
      </c>
      <c r="C304" s="7" t="str">
        <f t="shared" si="24"/>
        <v>2018</v>
      </c>
      <c r="D304" s="7" t="str">
        <f t="shared" si="25"/>
        <v>Oct</v>
      </c>
      <c r="E304" s="46">
        <v>43385</v>
      </c>
      <c r="F304" s="7" t="str">
        <f t="shared" si="26"/>
        <v>Oct</v>
      </c>
      <c r="G304" t="s">
        <v>2067</v>
      </c>
      <c r="H304" t="s">
        <v>2368</v>
      </c>
      <c r="I304" t="s">
        <v>2369</v>
      </c>
      <c r="J304" s="48" t="s">
        <v>2370</v>
      </c>
      <c r="K304" t="s">
        <v>20</v>
      </c>
      <c r="L304" t="s">
        <v>2371</v>
      </c>
      <c r="N304" s="48" t="s">
        <v>2372</v>
      </c>
      <c r="S304" t="s">
        <v>2317</v>
      </c>
      <c r="T304" s="6" t="str">
        <f t="shared" si="27"/>
        <v>No Progress</v>
      </c>
      <c r="U304" s="48" t="s">
        <v>2373</v>
      </c>
      <c r="V304" t="str">
        <f t="shared" si="28"/>
        <v>workinstartups.com</v>
      </c>
      <c r="W304" s="48" t="s">
        <v>2374</v>
      </c>
      <c r="X304" t="str">
        <f t="shared" si="29"/>
        <v>Positive</v>
      </c>
    </row>
    <row r="305" spans="1:24" x14ac:dyDescent="0.3">
      <c r="A305" s="6">
        <v>304</v>
      </c>
      <c r="B305" s="46">
        <v>43382</v>
      </c>
      <c r="C305" s="7" t="str">
        <f t="shared" si="24"/>
        <v>2018</v>
      </c>
      <c r="D305" s="7" t="str">
        <f t="shared" si="25"/>
        <v>Oct</v>
      </c>
      <c r="E305" s="46">
        <v>43385</v>
      </c>
      <c r="F305" s="7" t="str">
        <f t="shared" si="26"/>
        <v>Oct</v>
      </c>
      <c r="G305" t="s">
        <v>2067</v>
      </c>
      <c r="H305" t="s">
        <v>2375</v>
      </c>
      <c r="I305" t="s">
        <v>2376</v>
      </c>
      <c r="J305" s="48" t="s">
        <v>2377</v>
      </c>
      <c r="K305" t="s">
        <v>20</v>
      </c>
      <c r="L305" t="s">
        <v>2378</v>
      </c>
      <c r="M305" t="s">
        <v>2379</v>
      </c>
      <c r="N305" s="48" t="s">
        <v>2380</v>
      </c>
      <c r="S305" t="s">
        <v>2381</v>
      </c>
      <c r="T305" s="6" t="str">
        <f t="shared" si="27"/>
        <v>No Progress</v>
      </c>
      <c r="U305" s="48" t="s">
        <v>2382</v>
      </c>
      <c r="V305" t="str">
        <f t="shared" si="28"/>
        <v>workinstartups.com</v>
      </c>
      <c r="W305" s="48" t="s">
        <v>2383</v>
      </c>
      <c r="X305" t="str">
        <f t="shared" si="29"/>
        <v>Positive</v>
      </c>
    </row>
    <row r="306" spans="1:24" x14ac:dyDescent="0.3">
      <c r="A306" s="6">
        <v>305</v>
      </c>
      <c r="B306" s="45">
        <v>43382</v>
      </c>
      <c r="C306" s="7" t="str">
        <f t="shared" si="24"/>
        <v>2018</v>
      </c>
      <c r="D306" s="7" t="str">
        <f t="shared" si="25"/>
        <v>Oct</v>
      </c>
      <c r="E306" s="45">
        <v>43383</v>
      </c>
      <c r="F306" s="7" t="str">
        <f t="shared" si="26"/>
        <v>Oct</v>
      </c>
      <c r="G306" s="37" t="s">
        <v>2067</v>
      </c>
      <c r="H306" s="37" t="s">
        <v>2384</v>
      </c>
      <c r="I306" s="37" t="s">
        <v>2385</v>
      </c>
      <c r="J306" s="43" t="s">
        <v>2386</v>
      </c>
      <c r="K306" s="37" t="s">
        <v>302</v>
      </c>
      <c r="L306" s="37" t="s">
        <v>2387</v>
      </c>
      <c r="M306" s="37" t="s">
        <v>2388</v>
      </c>
      <c r="N306" s="43" t="s">
        <v>2389</v>
      </c>
      <c r="O306" s="37"/>
      <c r="P306" s="37"/>
      <c r="Q306" s="37"/>
      <c r="R306" s="37"/>
      <c r="S306" s="37" t="s">
        <v>2390</v>
      </c>
      <c r="T306" s="6" t="str">
        <f t="shared" si="27"/>
        <v>Cold</v>
      </c>
      <c r="U306" s="43" t="s">
        <v>2391</v>
      </c>
      <c r="V306" t="str">
        <f t="shared" si="28"/>
        <v>workinstartups.com</v>
      </c>
      <c r="W306" s="43" t="s">
        <v>2392</v>
      </c>
      <c r="X306" t="str">
        <f t="shared" si="29"/>
        <v>Positive</v>
      </c>
    </row>
    <row r="307" spans="1:24" x14ac:dyDescent="0.3">
      <c r="A307" s="6">
        <v>306</v>
      </c>
      <c r="B307" s="46">
        <v>43382</v>
      </c>
      <c r="C307" s="7" t="str">
        <f t="shared" si="24"/>
        <v>2018</v>
      </c>
      <c r="D307" s="7" t="str">
        <f t="shared" si="25"/>
        <v>Oct</v>
      </c>
      <c r="E307" s="46">
        <v>43385</v>
      </c>
      <c r="F307" s="7" t="str">
        <f t="shared" si="26"/>
        <v>Oct</v>
      </c>
      <c r="G307" t="s">
        <v>2067</v>
      </c>
      <c r="H307" t="s">
        <v>2393</v>
      </c>
      <c r="I307" t="s">
        <v>2394</v>
      </c>
      <c r="J307" s="48" t="s">
        <v>2395</v>
      </c>
      <c r="K307" t="s">
        <v>20</v>
      </c>
      <c r="L307" t="s">
        <v>2396</v>
      </c>
      <c r="N307" s="48" t="s">
        <v>2397</v>
      </c>
      <c r="S307" t="s">
        <v>2317</v>
      </c>
      <c r="T307" s="6" t="str">
        <f t="shared" si="27"/>
        <v>No Progress</v>
      </c>
      <c r="U307" s="48" t="s">
        <v>2398</v>
      </c>
      <c r="V307" t="str">
        <f t="shared" si="28"/>
        <v>workinstartups.com</v>
      </c>
      <c r="W307" s="48" t="s">
        <v>2399</v>
      </c>
      <c r="X307" t="str">
        <f t="shared" si="29"/>
        <v>Positive</v>
      </c>
    </row>
    <row r="308" spans="1:24" x14ac:dyDescent="0.3">
      <c r="A308" s="6">
        <v>307</v>
      </c>
      <c r="B308" s="46">
        <v>43383</v>
      </c>
      <c r="C308" s="7" t="str">
        <f t="shared" si="24"/>
        <v>2018</v>
      </c>
      <c r="D308" s="7" t="str">
        <f t="shared" si="25"/>
        <v>Oct</v>
      </c>
      <c r="E308" s="46">
        <v>43385</v>
      </c>
      <c r="F308" s="7" t="str">
        <f t="shared" si="26"/>
        <v>Oct</v>
      </c>
      <c r="G308" t="s">
        <v>26</v>
      </c>
      <c r="H308" t="s">
        <v>2400</v>
      </c>
      <c r="I308" t="s">
        <v>204</v>
      </c>
      <c r="J308" s="48" t="s">
        <v>2401</v>
      </c>
      <c r="K308" t="s">
        <v>20</v>
      </c>
      <c r="L308" t="s">
        <v>2402</v>
      </c>
      <c r="M308" t="s">
        <v>2403</v>
      </c>
      <c r="N308" s="48" t="s">
        <v>2404</v>
      </c>
      <c r="S308" t="s">
        <v>2228</v>
      </c>
      <c r="T308" s="6" t="str">
        <f t="shared" si="27"/>
        <v>No Progress</v>
      </c>
      <c r="U308" s="48" t="s">
        <v>2405</v>
      </c>
      <c r="V308" t="str">
        <f t="shared" si="28"/>
        <v>www.techinasia.com</v>
      </c>
      <c r="W308" s="48" t="s">
        <v>2406</v>
      </c>
      <c r="X308" t="str">
        <f t="shared" si="29"/>
        <v>Positive</v>
      </c>
    </row>
    <row r="309" spans="1:24" x14ac:dyDescent="0.3">
      <c r="A309" s="6">
        <v>308</v>
      </c>
      <c r="B309" s="46">
        <v>43383</v>
      </c>
      <c r="C309" s="7" t="str">
        <f t="shared" si="24"/>
        <v>2018</v>
      </c>
      <c r="D309" s="7" t="str">
        <f t="shared" si="25"/>
        <v>Oct</v>
      </c>
      <c r="E309" s="46">
        <v>43385</v>
      </c>
      <c r="F309" s="7" t="str">
        <f t="shared" si="26"/>
        <v>Oct</v>
      </c>
      <c r="G309" t="s">
        <v>32</v>
      </c>
      <c r="H309" t="s">
        <v>2407</v>
      </c>
      <c r="J309" s="48" t="s">
        <v>2408</v>
      </c>
      <c r="K309" t="s">
        <v>20</v>
      </c>
      <c r="M309" t="s">
        <v>2409</v>
      </c>
      <c r="N309" s="48" t="s">
        <v>2410</v>
      </c>
      <c r="S309" t="s">
        <v>2411</v>
      </c>
      <c r="T309" s="6" t="str">
        <f t="shared" si="27"/>
        <v>No Progress</v>
      </c>
      <c r="U309" s="48" t="s">
        <v>2412</v>
      </c>
      <c r="V309" t="str">
        <f t="shared" si="28"/>
        <v>www.techinasia.com</v>
      </c>
      <c r="X309" t="str">
        <f t="shared" si="29"/>
        <v>Negative</v>
      </c>
    </row>
    <row r="310" spans="1:24" x14ac:dyDescent="0.3">
      <c r="A310" s="6">
        <v>309</v>
      </c>
      <c r="B310" s="50">
        <v>43383</v>
      </c>
      <c r="C310" s="7" t="str">
        <f t="shared" si="24"/>
        <v>2018</v>
      </c>
      <c r="D310" s="7" t="str">
        <f t="shared" si="25"/>
        <v>Oct</v>
      </c>
      <c r="E310" s="50">
        <v>43384</v>
      </c>
      <c r="F310" s="7" t="str">
        <f t="shared" si="26"/>
        <v>Oct</v>
      </c>
      <c r="G310" s="49" t="s">
        <v>32</v>
      </c>
      <c r="H310" s="49" t="s">
        <v>2413</v>
      </c>
      <c r="I310" s="49" t="s">
        <v>204</v>
      </c>
      <c r="J310" s="51" t="s">
        <v>2414</v>
      </c>
      <c r="K310" s="49" t="s">
        <v>20</v>
      </c>
      <c r="L310" s="49" t="s">
        <v>2415</v>
      </c>
      <c r="M310" s="49" t="s">
        <v>2416</v>
      </c>
      <c r="N310" s="51" t="s">
        <v>2417</v>
      </c>
      <c r="O310" s="49"/>
      <c r="P310" s="49"/>
      <c r="Q310" s="51" t="s">
        <v>2418</v>
      </c>
      <c r="R310" s="49"/>
      <c r="S310" s="49" t="s">
        <v>2419</v>
      </c>
      <c r="T310" s="6" t="str">
        <f t="shared" si="27"/>
        <v>Warm</v>
      </c>
      <c r="U310" s="51" t="s">
        <v>2420</v>
      </c>
      <c r="V310" t="str">
        <f t="shared" si="28"/>
        <v>www.techinasia.com</v>
      </c>
      <c r="W310" s="51" t="s">
        <v>2421</v>
      </c>
      <c r="X310" t="str">
        <f t="shared" si="29"/>
        <v>Positive</v>
      </c>
    </row>
    <row r="311" spans="1:24" x14ac:dyDescent="0.3">
      <c r="A311" s="6">
        <v>310</v>
      </c>
      <c r="B311" s="46">
        <v>43383</v>
      </c>
      <c r="C311" s="7" t="str">
        <f t="shared" si="24"/>
        <v>2018</v>
      </c>
      <c r="D311" s="7" t="str">
        <f t="shared" si="25"/>
        <v>Oct</v>
      </c>
      <c r="E311" s="46">
        <v>43385</v>
      </c>
      <c r="F311" s="7" t="str">
        <f t="shared" si="26"/>
        <v>Oct</v>
      </c>
      <c r="G311" t="s">
        <v>32</v>
      </c>
      <c r="H311" t="s">
        <v>2422</v>
      </c>
      <c r="I311" t="s">
        <v>291</v>
      </c>
      <c r="J311" s="48" t="s">
        <v>2423</v>
      </c>
      <c r="K311" t="s">
        <v>20</v>
      </c>
      <c r="L311" t="s">
        <v>2424</v>
      </c>
      <c r="N311" s="48" t="s">
        <v>2425</v>
      </c>
      <c r="S311" t="s">
        <v>2228</v>
      </c>
      <c r="T311" s="6" t="str">
        <f t="shared" si="27"/>
        <v>No Progress</v>
      </c>
      <c r="U311" s="48" t="s">
        <v>2426</v>
      </c>
      <c r="V311" t="str">
        <f t="shared" si="28"/>
        <v>www.techinasia.com</v>
      </c>
      <c r="W311" s="48" t="s">
        <v>2427</v>
      </c>
      <c r="X311" t="str">
        <f t="shared" si="29"/>
        <v>Positive</v>
      </c>
    </row>
    <row r="312" spans="1:24" x14ac:dyDescent="0.3">
      <c r="A312" s="6">
        <v>311</v>
      </c>
      <c r="B312" s="46">
        <v>43383</v>
      </c>
      <c r="C312" s="7" t="str">
        <f t="shared" si="24"/>
        <v>2018</v>
      </c>
      <c r="D312" s="7" t="str">
        <f t="shared" si="25"/>
        <v>Oct</v>
      </c>
      <c r="E312" s="46">
        <v>43383</v>
      </c>
      <c r="F312" s="7" t="str">
        <f t="shared" si="26"/>
        <v>Oct</v>
      </c>
      <c r="G312" t="s">
        <v>32</v>
      </c>
      <c r="H312" t="s">
        <v>2428</v>
      </c>
      <c r="K312" t="s">
        <v>20</v>
      </c>
      <c r="L312" t="s">
        <v>2429</v>
      </c>
      <c r="S312" t="s">
        <v>2430</v>
      </c>
      <c r="T312" s="6" t="str">
        <f t="shared" si="27"/>
        <v>No Progress</v>
      </c>
      <c r="U312" s="48" t="s">
        <v>2431</v>
      </c>
      <c r="V312" t="str">
        <f t="shared" si="28"/>
        <v>www.techinasia.com</v>
      </c>
      <c r="W312" s="48" t="s">
        <v>2432</v>
      </c>
      <c r="X312" t="str">
        <f t="shared" si="29"/>
        <v>Neutral</v>
      </c>
    </row>
    <row r="313" spans="1:24" x14ac:dyDescent="0.3">
      <c r="A313" s="6">
        <v>312</v>
      </c>
      <c r="B313" s="45">
        <v>43383</v>
      </c>
      <c r="C313" s="7" t="str">
        <f t="shared" si="24"/>
        <v>2018</v>
      </c>
      <c r="D313" s="7" t="str">
        <f t="shared" si="25"/>
        <v>Oct</v>
      </c>
      <c r="E313" s="45">
        <v>43383</v>
      </c>
      <c r="F313" s="7" t="str">
        <f t="shared" si="26"/>
        <v>Oct</v>
      </c>
      <c r="G313" s="37" t="s">
        <v>2067</v>
      </c>
      <c r="H313" s="37" t="s">
        <v>2433</v>
      </c>
      <c r="I313" s="37" t="s">
        <v>119</v>
      </c>
      <c r="J313" s="43" t="s">
        <v>2434</v>
      </c>
      <c r="K313" s="37" t="s">
        <v>20</v>
      </c>
      <c r="L313" s="37" t="s">
        <v>2435</v>
      </c>
      <c r="M313" s="37" t="s">
        <v>2436</v>
      </c>
      <c r="N313" s="43" t="s">
        <v>2437</v>
      </c>
      <c r="O313" s="37"/>
      <c r="P313" s="37"/>
      <c r="Q313" s="43" t="s">
        <v>2438</v>
      </c>
      <c r="R313" s="37"/>
      <c r="S313" s="37" t="s">
        <v>2439</v>
      </c>
      <c r="T313" s="6" t="str">
        <f t="shared" si="27"/>
        <v>Cold</v>
      </c>
      <c r="U313" s="43" t="s">
        <v>2440</v>
      </c>
      <c r="V313" t="str">
        <f t="shared" si="28"/>
        <v>www.f6s.com</v>
      </c>
      <c r="W313" s="43" t="s">
        <v>2441</v>
      </c>
      <c r="X313" t="str">
        <f t="shared" si="29"/>
        <v>Negative</v>
      </c>
    </row>
    <row r="314" spans="1:24" x14ac:dyDescent="0.3">
      <c r="A314" s="6">
        <v>313</v>
      </c>
      <c r="B314" s="46">
        <v>43383</v>
      </c>
      <c r="C314" s="7" t="str">
        <f t="shared" si="24"/>
        <v>2018</v>
      </c>
      <c r="D314" s="7" t="str">
        <f t="shared" si="25"/>
        <v>Oct</v>
      </c>
      <c r="E314" s="46">
        <v>43385</v>
      </c>
      <c r="F314" s="7" t="str">
        <f t="shared" si="26"/>
        <v>Oct</v>
      </c>
      <c r="G314" t="s">
        <v>1624</v>
      </c>
      <c r="H314" t="s">
        <v>2442</v>
      </c>
      <c r="I314" t="s">
        <v>119</v>
      </c>
      <c r="J314" s="48" t="s">
        <v>2443</v>
      </c>
      <c r="K314" t="s">
        <v>20</v>
      </c>
      <c r="L314" t="s">
        <v>2444</v>
      </c>
      <c r="N314" s="48" t="s">
        <v>2445</v>
      </c>
      <c r="Q314" s="48" t="s">
        <v>2446</v>
      </c>
      <c r="S314" t="s">
        <v>2228</v>
      </c>
      <c r="T314" s="6" t="str">
        <f t="shared" si="27"/>
        <v>No Progress</v>
      </c>
      <c r="U314" s="48" t="s">
        <v>2447</v>
      </c>
      <c r="V314" t="str">
        <f t="shared" si="28"/>
        <v>www.f6s.com</v>
      </c>
      <c r="W314" s="48" t="s">
        <v>2448</v>
      </c>
      <c r="X314" t="str">
        <f t="shared" si="29"/>
        <v>Positive</v>
      </c>
    </row>
    <row r="315" spans="1:24" x14ac:dyDescent="0.3">
      <c r="A315" s="6">
        <v>314</v>
      </c>
      <c r="B315" s="46">
        <v>43383</v>
      </c>
      <c r="C315" s="7" t="str">
        <f t="shared" si="24"/>
        <v>2018</v>
      </c>
      <c r="D315" s="7" t="str">
        <f t="shared" si="25"/>
        <v>Oct</v>
      </c>
      <c r="E315" s="46">
        <v>43385</v>
      </c>
      <c r="F315" s="7" t="str">
        <f t="shared" si="26"/>
        <v>Oct</v>
      </c>
      <c r="G315" t="s">
        <v>32</v>
      </c>
      <c r="H315" t="s">
        <v>2449</v>
      </c>
      <c r="I315" t="s">
        <v>1539</v>
      </c>
      <c r="J315" s="48" t="s">
        <v>2450</v>
      </c>
      <c r="K315" t="s">
        <v>20</v>
      </c>
      <c r="L315" t="s">
        <v>2451</v>
      </c>
      <c r="N315" s="48" t="s">
        <v>2452</v>
      </c>
      <c r="S315" t="s">
        <v>2228</v>
      </c>
      <c r="T315" s="6" t="str">
        <f t="shared" si="27"/>
        <v>No Progress</v>
      </c>
      <c r="U315" s="48" t="s">
        <v>2453</v>
      </c>
      <c r="V315" t="str">
        <f t="shared" si="28"/>
        <v>workinstartups.com</v>
      </c>
      <c r="W315" s="48" t="s">
        <v>2454</v>
      </c>
      <c r="X315" t="str">
        <f t="shared" si="29"/>
        <v>Positive</v>
      </c>
    </row>
    <row r="316" spans="1:24" x14ac:dyDescent="0.3">
      <c r="A316" s="6">
        <v>315</v>
      </c>
      <c r="B316" s="46">
        <v>43383</v>
      </c>
      <c r="C316" s="7" t="str">
        <f t="shared" si="24"/>
        <v>2018</v>
      </c>
      <c r="D316" s="7" t="str">
        <f t="shared" si="25"/>
        <v>Oct</v>
      </c>
      <c r="E316" s="46">
        <v>43385</v>
      </c>
      <c r="F316" s="7" t="str">
        <f t="shared" si="26"/>
        <v>Oct</v>
      </c>
      <c r="G316" t="s">
        <v>2067</v>
      </c>
      <c r="J316" s="48" t="s">
        <v>2455</v>
      </c>
      <c r="K316" t="s">
        <v>20</v>
      </c>
      <c r="M316" t="s">
        <v>2456</v>
      </c>
      <c r="Q316" s="48" t="s">
        <v>2457</v>
      </c>
      <c r="S316" t="s">
        <v>2228</v>
      </c>
      <c r="T316" s="6" t="str">
        <f t="shared" si="27"/>
        <v>No Progress</v>
      </c>
      <c r="U316" s="48" t="s">
        <v>2458</v>
      </c>
      <c r="V316" t="str">
        <f t="shared" si="28"/>
        <v>workinstartups.com</v>
      </c>
      <c r="X316" t="str">
        <f t="shared" si="29"/>
        <v>Positive</v>
      </c>
    </row>
    <row r="317" spans="1:24" x14ac:dyDescent="0.3">
      <c r="A317" s="6">
        <v>316</v>
      </c>
      <c r="B317" s="46">
        <v>43383</v>
      </c>
      <c r="C317" s="7" t="str">
        <f t="shared" si="24"/>
        <v>2018</v>
      </c>
      <c r="D317" s="7" t="str">
        <f t="shared" si="25"/>
        <v>Oct</v>
      </c>
      <c r="E317" s="46">
        <v>43385</v>
      </c>
      <c r="F317" s="7" t="str">
        <f t="shared" si="26"/>
        <v>Oct</v>
      </c>
      <c r="G317" t="s">
        <v>2067</v>
      </c>
      <c r="H317" t="s">
        <v>2459</v>
      </c>
      <c r="I317" t="s">
        <v>119</v>
      </c>
      <c r="J317" s="48" t="s">
        <v>2460</v>
      </c>
      <c r="K317" t="s">
        <v>20</v>
      </c>
      <c r="L317" t="s">
        <v>2461</v>
      </c>
      <c r="N317" s="48" t="s">
        <v>2462</v>
      </c>
      <c r="S317" t="s">
        <v>2228</v>
      </c>
      <c r="T317" s="6" t="str">
        <f t="shared" si="27"/>
        <v>No Progress</v>
      </c>
      <c r="U317" s="48" t="s">
        <v>2463</v>
      </c>
      <c r="V317" t="str">
        <f t="shared" si="28"/>
        <v>workinstartups.com</v>
      </c>
      <c r="W317" s="48" t="s">
        <v>2464</v>
      </c>
      <c r="X317" t="str">
        <f t="shared" si="29"/>
        <v>Positive</v>
      </c>
    </row>
    <row r="318" spans="1:24" x14ac:dyDescent="0.3">
      <c r="A318" s="6">
        <v>317</v>
      </c>
      <c r="B318" s="46">
        <v>43383</v>
      </c>
      <c r="C318" s="7" t="str">
        <f t="shared" si="24"/>
        <v>2018</v>
      </c>
      <c r="D318" s="7" t="str">
        <f t="shared" si="25"/>
        <v>Oct</v>
      </c>
      <c r="E318" s="46">
        <v>43385</v>
      </c>
      <c r="F318" s="7" t="str">
        <f t="shared" si="26"/>
        <v>Oct</v>
      </c>
      <c r="G318" t="s">
        <v>490</v>
      </c>
      <c r="H318" t="s">
        <v>2465</v>
      </c>
      <c r="I318" t="s">
        <v>330</v>
      </c>
      <c r="J318" s="48" t="s">
        <v>2466</v>
      </c>
      <c r="K318" t="s">
        <v>20</v>
      </c>
      <c r="L318" t="s">
        <v>2467</v>
      </c>
      <c r="N318" s="48" t="s">
        <v>2468</v>
      </c>
      <c r="S318" t="s">
        <v>2228</v>
      </c>
      <c r="T318" s="6" t="str">
        <f t="shared" si="27"/>
        <v>No Progress</v>
      </c>
      <c r="U318" s="48" t="s">
        <v>2469</v>
      </c>
      <c r="V318" t="str">
        <f t="shared" si="28"/>
        <v>workinstartups.com</v>
      </c>
      <c r="W318" s="48" t="s">
        <v>2470</v>
      </c>
      <c r="X318" t="str">
        <f t="shared" si="29"/>
        <v>Positive</v>
      </c>
    </row>
    <row r="319" spans="1:24" x14ac:dyDescent="0.3">
      <c r="A319" s="6">
        <v>318</v>
      </c>
      <c r="B319" s="46">
        <v>43383</v>
      </c>
      <c r="C319" s="7" t="str">
        <f t="shared" si="24"/>
        <v>2018</v>
      </c>
      <c r="D319" s="7" t="str">
        <f t="shared" si="25"/>
        <v>Oct</v>
      </c>
      <c r="E319" s="46">
        <v>43383</v>
      </c>
      <c r="F319" s="7" t="str">
        <f t="shared" si="26"/>
        <v>Oct</v>
      </c>
      <c r="G319" t="s">
        <v>2067</v>
      </c>
      <c r="H319" t="s">
        <v>2471</v>
      </c>
      <c r="I319" t="s">
        <v>1188</v>
      </c>
      <c r="J319" s="48" t="s">
        <v>2472</v>
      </c>
      <c r="K319" t="s">
        <v>20</v>
      </c>
      <c r="L319" t="s">
        <v>2473</v>
      </c>
      <c r="Q319" s="48" t="s">
        <v>2474</v>
      </c>
      <c r="S319" t="s">
        <v>2430</v>
      </c>
      <c r="T319" s="6" t="str">
        <f t="shared" si="27"/>
        <v>No Progress</v>
      </c>
      <c r="U319" s="48" t="s">
        <v>2475</v>
      </c>
      <c r="V319" t="str">
        <f t="shared" si="28"/>
        <v>workinstartups.com</v>
      </c>
      <c r="W319" s="48" t="s">
        <v>2476</v>
      </c>
      <c r="X319" t="str">
        <f t="shared" si="29"/>
        <v>Neutral</v>
      </c>
    </row>
    <row r="320" spans="1:24" x14ac:dyDescent="0.3">
      <c r="A320" s="6">
        <v>319</v>
      </c>
      <c r="B320" s="46">
        <v>43383</v>
      </c>
      <c r="C320" s="7" t="str">
        <f t="shared" si="24"/>
        <v>2018</v>
      </c>
      <c r="D320" s="7" t="str">
        <f t="shared" si="25"/>
        <v>Oct</v>
      </c>
      <c r="E320" s="46">
        <v>43385</v>
      </c>
      <c r="F320" s="7" t="str">
        <f t="shared" si="26"/>
        <v>Oct</v>
      </c>
      <c r="G320" t="s">
        <v>2067</v>
      </c>
      <c r="H320" t="s">
        <v>2477</v>
      </c>
      <c r="J320" s="48" t="s">
        <v>2478</v>
      </c>
      <c r="K320" t="s">
        <v>20</v>
      </c>
      <c r="M320" t="s">
        <v>2479</v>
      </c>
      <c r="Q320" s="48" t="s">
        <v>2480</v>
      </c>
      <c r="S320" t="s">
        <v>2228</v>
      </c>
      <c r="T320" s="6" t="str">
        <f t="shared" si="27"/>
        <v>No Progress</v>
      </c>
      <c r="U320" s="48" t="s">
        <v>2481</v>
      </c>
      <c r="V320" t="str">
        <f t="shared" si="28"/>
        <v>workinstartups.com</v>
      </c>
      <c r="X320" t="str">
        <f t="shared" si="29"/>
        <v>Positive</v>
      </c>
    </row>
    <row r="321" spans="1:25" x14ac:dyDescent="0.3">
      <c r="A321" s="6">
        <v>320</v>
      </c>
      <c r="B321" s="46">
        <v>43383</v>
      </c>
      <c r="C321" s="7" t="str">
        <f t="shared" si="24"/>
        <v>2018</v>
      </c>
      <c r="D321" s="7" t="str">
        <f t="shared" si="25"/>
        <v>Oct</v>
      </c>
      <c r="E321" s="46">
        <v>43385</v>
      </c>
      <c r="F321" s="7" t="str">
        <f t="shared" si="26"/>
        <v>Oct</v>
      </c>
      <c r="G321" t="s">
        <v>2067</v>
      </c>
      <c r="H321" t="s">
        <v>2482</v>
      </c>
      <c r="I321" t="s">
        <v>330</v>
      </c>
      <c r="J321" s="48" t="s">
        <v>2483</v>
      </c>
      <c r="K321" t="s">
        <v>20</v>
      </c>
      <c r="L321" t="s">
        <v>2484</v>
      </c>
      <c r="N321" s="48" t="s">
        <v>2485</v>
      </c>
      <c r="Q321" s="48" t="s">
        <v>2486</v>
      </c>
      <c r="S321" t="s">
        <v>2228</v>
      </c>
      <c r="T321" s="6" t="str">
        <f t="shared" si="27"/>
        <v>No Progress</v>
      </c>
      <c r="U321" s="48" t="s">
        <v>2487</v>
      </c>
      <c r="V321" t="str">
        <f t="shared" si="28"/>
        <v>workinstartups.com</v>
      </c>
      <c r="W321" s="48" t="s">
        <v>2488</v>
      </c>
      <c r="X321" t="str">
        <f t="shared" si="29"/>
        <v>Positive</v>
      </c>
    </row>
    <row r="322" spans="1:25" x14ac:dyDescent="0.3">
      <c r="A322" s="6">
        <v>321</v>
      </c>
      <c r="B322" s="46">
        <v>43384</v>
      </c>
      <c r="C322" s="7" t="str">
        <f t="shared" si="24"/>
        <v>2018</v>
      </c>
      <c r="D322" s="7" t="str">
        <f t="shared" si="25"/>
        <v>Oct</v>
      </c>
      <c r="E322" s="46">
        <v>43385</v>
      </c>
      <c r="F322" s="7" t="str">
        <f t="shared" si="26"/>
        <v>Oct</v>
      </c>
      <c r="G322" t="s">
        <v>32</v>
      </c>
      <c r="H322" t="s">
        <v>2502</v>
      </c>
      <c r="I322" t="s">
        <v>1188</v>
      </c>
      <c r="J322" s="48" t="s">
        <v>2503</v>
      </c>
      <c r="K322" t="s">
        <v>20</v>
      </c>
      <c r="L322" t="s">
        <v>2504</v>
      </c>
      <c r="M322" t="s">
        <v>2505</v>
      </c>
      <c r="Q322" s="48" t="s">
        <v>2506</v>
      </c>
      <c r="S322" t="s">
        <v>2507</v>
      </c>
      <c r="T322" s="6" t="str">
        <f t="shared" si="27"/>
        <v>No Progress</v>
      </c>
      <c r="U322" s="48" t="s">
        <v>2508</v>
      </c>
      <c r="V322" t="str">
        <f t="shared" si="28"/>
        <v>startupjobs.asia</v>
      </c>
      <c r="W322" s="48" t="s">
        <v>2600</v>
      </c>
      <c r="X322" t="str">
        <f t="shared" si="29"/>
        <v>Negative</v>
      </c>
      <c r="Y322" s="48"/>
    </row>
    <row r="323" spans="1:25" x14ac:dyDescent="0.3">
      <c r="A323" s="6">
        <v>322</v>
      </c>
      <c r="B323" s="46">
        <v>43384</v>
      </c>
      <c r="C323" s="7" t="str">
        <f t="shared" ref="C323:C338" si="30">TEXT(B323, "yyyy")</f>
        <v>2018</v>
      </c>
      <c r="D323" s="7" t="str">
        <f t="shared" ref="D323:D338" si="31">TEXT(B323, "mmm")</f>
        <v>Oct</v>
      </c>
      <c r="E323" s="46">
        <v>43384</v>
      </c>
      <c r="F323" s="7" t="str">
        <f t="shared" ref="F323:F338" si="32">TEXT(E323, "mmm")</f>
        <v>Oct</v>
      </c>
      <c r="G323" t="s">
        <v>32</v>
      </c>
      <c r="H323" t="s">
        <v>242</v>
      </c>
      <c r="I323" t="s">
        <v>243</v>
      </c>
      <c r="J323" s="48" t="s">
        <v>244</v>
      </c>
      <c r="K323" t="s">
        <v>20</v>
      </c>
      <c r="L323" t="s">
        <v>245</v>
      </c>
      <c r="N323" s="48" t="s">
        <v>2509</v>
      </c>
      <c r="S323" t="s">
        <v>2510</v>
      </c>
      <c r="T323" s="6" t="str">
        <f t="shared" ref="T323:T338" si="33">GetCellColorStatus(B323)</f>
        <v>No Progress</v>
      </c>
      <c r="U323" s="48" t="s">
        <v>2511</v>
      </c>
      <c r="V323" t="str">
        <f t="shared" ref="V323:V338" si="34">IF(U323 = "", "No Source", MID(U323, SEARCH("//", U323) + 2, SEARCH("/", U323, SEARCH("//", U323) + 2) - SEARCH("//", U323) - 2))</f>
        <v>www.techinasia.com</v>
      </c>
      <c r="W323" s="48" t="s">
        <v>250</v>
      </c>
      <c r="X323" t="str">
        <f t="shared" ref="X323:X338" si="35">IF(OR(ISNUMBER(SEARCH("no answer", LOWER(S323))), ISNUMBER(SEARCH("not interested", LOWER(S323)))), "Negative",
IF(OR(ISNUMBER(SEARCH("email sent", LOWER(S323))), ISNUMBER(SEARCH("follow up", LOWER(S323))), ISNUMBER(SEARCH("spoke", LOWER(S323)))), "Positive",
"Neutral"))</f>
        <v>Positive</v>
      </c>
      <c r="Y323" s="48"/>
    </row>
    <row r="324" spans="1:25" x14ac:dyDescent="0.3">
      <c r="A324" s="6">
        <v>323</v>
      </c>
      <c r="B324" s="46">
        <v>43384</v>
      </c>
      <c r="C324" s="7" t="str">
        <f t="shared" si="30"/>
        <v>2018</v>
      </c>
      <c r="D324" s="7" t="str">
        <f t="shared" si="31"/>
        <v>Oct</v>
      </c>
      <c r="E324" s="46">
        <v>43384</v>
      </c>
      <c r="F324" s="7" t="str">
        <f t="shared" si="32"/>
        <v>Oct</v>
      </c>
      <c r="G324" t="s">
        <v>2067</v>
      </c>
      <c r="H324" t="s">
        <v>2512</v>
      </c>
      <c r="I324" t="s">
        <v>1083</v>
      </c>
      <c r="J324" s="48" t="s">
        <v>2513</v>
      </c>
      <c r="K324" t="s">
        <v>20</v>
      </c>
      <c r="L324" t="s">
        <v>2514</v>
      </c>
      <c r="N324" s="48" t="s">
        <v>2515</v>
      </c>
      <c r="S324" t="s">
        <v>2510</v>
      </c>
      <c r="T324" s="6" t="str">
        <f t="shared" si="33"/>
        <v>No Progress</v>
      </c>
      <c r="U324" s="48" t="s">
        <v>2516</v>
      </c>
      <c r="V324" t="str">
        <f t="shared" si="34"/>
        <v>www.f6s.com</v>
      </c>
      <c r="W324" s="48" t="s">
        <v>2601</v>
      </c>
      <c r="X324" t="str">
        <f t="shared" si="35"/>
        <v>Positive</v>
      </c>
      <c r="Y324" s="48"/>
    </row>
    <row r="325" spans="1:25" x14ac:dyDescent="0.3">
      <c r="A325" s="6">
        <v>324</v>
      </c>
      <c r="B325" s="46">
        <v>43384</v>
      </c>
      <c r="C325" s="7" t="str">
        <f t="shared" si="30"/>
        <v>2018</v>
      </c>
      <c r="D325" s="7" t="str">
        <f t="shared" si="31"/>
        <v>Oct</v>
      </c>
      <c r="E325" s="46">
        <v>43385</v>
      </c>
      <c r="F325" s="7" t="str">
        <f t="shared" si="32"/>
        <v>Oct</v>
      </c>
      <c r="G325" t="s">
        <v>1656</v>
      </c>
      <c r="H325" t="s">
        <v>2517</v>
      </c>
      <c r="I325" t="s">
        <v>204</v>
      </c>
      <c r="J325" s="48" t="s">
        <v>2518</v>
      </c>
      <c r="K325" t="s">
        <v>20</v>
      </c>
      <c r="L325" t="s">
        <v>2519</v>
      </c>
      <c r="M325" t="s">
        <v>2520</v>
      </c>
      <c r="N325" s="48" t="s">
        <v>2521</v>
      </c>
      <c r="Q325" s="48" t="s">
        <v>2522</v>
      </c>
      <c r="S325" t="s">
        <v>2523</v>
      </c>
      <c r="T325" s="6" t="str">
        <f t="shared" si="33"/>
        <v>No Progress</v>
      </c>
      <c r="U325" s="48" t="s">
        <v>2524</v>
      </c>
      <c r="V325" t="str">
        <f t="shared" si="34"/>
        <v>www.f6s.com</v>
      </c>
      <c r="W325" s="48" t="s">
        <v>2602</v>
      </c>
      <c r="X325" t="str">
        <f t="shared" si="35"/>
        <v>Positive</v>
      </c>
      <c r="Y325" s="72"/>
    </row>
    <row r="326" spans="1:25" x14ac:dyDescent="0.3">
      <c r="A326" s="6">
        <v>325</v>
      </c>
      <c r="B326" s="46">
        <v>43384</v>
      </c>
      <c r="C326" s="7" t="str">
        <f t="shared" si="30"/>
        <v>2018</v>
      </c>
      <c r="D326" s="7" t="str">
        <f t="shared" si="31"/>
        <v>Oct</v>
      </c>
      <c r="E326" s="46">
        <v>43384</v>
      </c>
      <c r="F326" s="7" t="str">
        <f t="shared" si="32"/>
        <v>Oct</v>
      </c>
      <c r="G326" t="s">
        <v>26</v>
      </c>
      <c r="H326" t="s">
        <v>2525</v>
      </c>
      <c r="K326" t="s">
        <v>20</v>
      </c>
      <c r="L326" t="s">
        <v>2526</v>
      </c>
      <c r="S326" t="s">
        <v>2527</v>
      </c>
      <c r="T326" s="6" t="str">
        <f t="shared" si="33"/>
        <v>No Progress</v>
      </c>
      <c r="U326" s="48" t="s">
        <v>2528</v>
      </c>
      <c r="V326" t="str">
        <f t="shared" si="34"/>
        <v>www.f6s.com</v>
      </c>
      <c r="W326" s="48" t="s">
        <v>2603</v>
      </c>
      <c r="X326" t="str">
        <f t="shared" si="35"/>
        <v>Neutral</v>
      </c>
      <c r="Y326" s="72"/>
    </row>
    <row r="327" spans="1:25" x14ac:dyDescent="0.3">
      <c r="A327" s="6">
        <v>326</v>
      </c>
      <c r="B327" s="78">
        <v>43384</v>
      </c>
      <c r="C327" s="7" t="str">
        <f t="shared" si="30"/>
        <v>2018</v>
      </c>
      <c r="D327" s="7" t="str">
        <f t="shared" si="31"/>
        <v>Oct</v>
      </c>
      <c r="E327" s="78">
        <v>43384</v>
      </c>
      <c r="F327" s="7" t="str">
        <f t="shared" si="32"/>
        <v>Oct</v>
      </c>
      <c r="G327" s="79" t="s">
        <v>712</v>
      </c>
      <c r="H327" s="79" t="s">
        <v>2529</v>
      </c>
      <c r="I327" s="79" t="s">
        <v>1188</v>
      </c>
      <c r="J327" s="80" t="s">
        <v>2530</v>
      </c>
      <c r="K327" s="79" t="s">
        <v>20</v>
      </c>
      <c r="L327" s="79" t="s">
        <v>2531</v>
      </c>
      <c r="M327" s="79"/>
      <c r="N327" s="80" t="s">
        <v>2532</v>
      </c>
      <c r="O327" s="79"/>
      <c r="P327" s="79"/>
      <c r="Q327" s="80" t="s">
        <v>2533</v>
      </c>
      <c r="R327" s="79"/>
      <c r="S327" s="79"/>
      <c r="T327" s="6" t="str">
        <f t="shared" si="33"/>
        <v>No Progress</v>
      </c>
      <c r="U327" s="80" t="s">
        <v>2534</v>
      </c>
      <c r="V327" t="str">
        <f t="shared" si="34"/>
        <v>www.f6s.com</v>
      </c>
      <c r="W327" s="80" t="s">
        <v>2604</v>
      </c>
      <c r="X327" t="str">
        <f t="shared" si="35"/>
        <v>Neutral</v>
      </c>
      <c r="Y327" s="72"/>
    </row>
    <row r="328" spans="1:25" x14ac:dyDescent="0.3">
      <c r="A328" s="6">
        <v>327</v>
      </c>
      <c r="B328" s="78">
        <v>43384</v>
      </c>
      <c r="C328" s="7" t="str">
        <f t="shared" si="30"/>
        <v>2018</v>
      </c>
      <c r="D328" s="7" t="str">
        <f t="shared" si="31"/>
        <v>Oct</v>
      </c>
      <c r="E328" s="78">
        <v>43384</v>
      </c>
      <c r="F328" s="7" t="str">
        <f t="shared" si="32"/>
        <v>Oct</v>
      </c>
      <c r="G328" s="79" t="s">
        <v>2067</v>
      </c>
      <c r="H328" s="79" t="s">
        <v>2535</v>
      </c>
      <c r="I328" s="79" t="s">
        <v>330</v>
      </c>
      <c r="J328" s="80" t="s">
        <v>2536</v>
      </c>
      <c r="K328" s="79" t="s">
        <v>20</v>
      </c>
      <c r="L328" s="79" t="s">
        <v>2537</v>
      </c>
      <c r="M328" s="79"/>
      <c r="N328" s="80" t="s">
        <v>2538</v>
      </c>
      <c r="O328" s="79"/>
      <c r="P328" s="79"/>
      <c r="Q328" s="79"/>
      <c r="R328" s="79"/>
      <c r="S328" s="79"/>
      <c r="T328" s="6" t="str">
        <f t="shared" si="33"/>
        <v>No Progress</v>
      </c>
      <c r="U328" s="80" t="s">
        <v>2539</v>
      </c>
      <c r="V328" t="str">
        <f t="shared" si="34"/>
        <v>workinstartups.com</v>
      </c>
      <c r="W328" s="80" t="s">
        <v>2605</v>
      </c>
      <c r="X328" t="str">
        <f t="shared" si="35"/>
        <v>Neutral</v>
      </c>
      <c r="Y328" s="72"/>
    </row>
    <row r="329" spans="1:25" x14ac:dyDescent="0.3">
      <c r="A329" s="6">
        <v>328</v>
      </c>
      <c r="B329" s="78">
        <v>43384</v>
      </c>
      <c r="C329" s="7" t="str">
        <f t="shared" si="30"/>
        <v>2018</v>
      </c>
      <c r="D329" s="7" t="str">
        <f t="shared" si="31"/>
        <v>Oct</v>
      </c>
      <c r="E329" s="78">
        <v>43384</v>
      </c>
      <c r="F329" s="7" t="str">
        <f t="shared" si="32"/>
        <v>Oct</v>
      </c>
      <c r="G329" s="79" t="s">
        <v>2067</v>
      </c>
      <c r="H329" s="79" t="s">
        <v>2540</v>
      </c>
      <c r="I329" s="79" t="s">
        <v>204</v>
      </c>
      <c r="J329" s="80" t="s">
        <v>2541</v>
      </c>
      <c r="K329" s="79" t="s">
        <v>20</v>
      </c>
      <c r="L329" s="79" t="s">
        <v>2542</v>
      </c>
      <c r="M329" s="79"/>
      <c r="N329" s="80" t="s">
        <v>2543</v>
      </c>
      <c r="O329" s="79"/>
      <c r="P329" s="79"/>
      <c r="Q329" s="80" t="s">
        <v>2544</v>
      </c>
      <c r="R329" s="79"/>
      <c r="S329" s="79"/>
      <c r="T329" s="6" t="str">
        <f t="shared" si="33"/>
        <v>No Progress</v>
      </c>
      <c r="U329" s="80" t="s">
        <v>2545</v>
      </c>
      <c r="V329" t="str">
        <f t="shared" si="34"/>
        <v>workinstartups.com</v>
      </c>
      <c r="W329" s="80" t="s">
        <v>2606</v>
      </c>
      <c r="X329" t="str">
        <f t="shared" si="35"/>
        <v>Neutral</v>
      </c>
      <c r="Y329" s="72"/>
    </row>
    <row r="330" spans="1:25" x14ac:dyDescent="0.3">
      <c r="A330" s="6">
        <v>329</v>
      </c>
      <c r="B330" s="78">
        <v>43384</v>
      </c>
      <c r="C330" s="7" t="str">
        <f t="shared" si="30"/>
        <v>2018</v>
      </c>
      <c r="D330" s="7" t="str">
        <f t="shared" si="31"/>
        <v>Oct</v>
      </c>
      <c r="E330" s="78">
        <v>43384</v>
      </c>
      <c r="F330" s="7" t="str">
        <f t="shared" si="32"/>
        <v>Oct</v>
      </c>
      <c r="G330" s="79" t="s">
        <v>2067</v>
      </c>
      <c r="H330" s="79" t="s">
        <v>2546</v>
      </c>
      <c r="I330" s="79" t="s">
        <v>2547</v>
      </c>
      <c r="J330" s="80" t="s">
        <v>2548</v>
      </c>
      <c r="K330" s="79" t="s">
        <v>20</v>
      </c>
      <c r="L330" s="79" t="s">
        <v>2549</v>
      </c>
      <c r="M330" s="79"/>
      <c r="N330" s="80" t="s">
        <v>2550</v>
      </c>
      <c r="O330" s="79"/>
      <c r="P330" s="79"/>
      <c r="Q330" s="79"/>
      <c r="R330" s="79"/>
      <c r="S330" s="79"/>
      <c r="T330" s="6" t="str">
        <f t="shared" si="33"/>
        <v>No Progress</v>
      </c>
      <c r="U330" s="80" t="s">
        <v>2551</v>
      </c>
      <c r="V330" t="str">
        <f t="shared" si="34"/>
        <v>workinstartups.com</v>
      </c>
      <c r="W330" s="80" t="s">
        <v>2607</v>
      </c>
      <c r="X330" t="str">
        <f t="shared" si="35"/>
        <v>Neutral</v>
      </c>
      <c r="Y330" s="72"/>
    </row>
    <row r="331" spans="1:25" x14ac:dyDescent="0.3">
      <c r="A331" s="6">
        <v>330</v>
      </c>
      <c r="B331" s="46">
        <v>43384</v>
      </c>
      <c r="C331" s="7" t="str">
        <f t="shared" si="30"/>
        <v>2018</v>
      </c>
      <c r="D331" s="7" t="str">
        <f t="shared" si="31"/>
        <v>Oct</v>
      </c>
      <c r="E331" s="46">
        <v>43384</v>
      </c>
      <c r="F331" s="7" t="str">
        <f t="shared" si="32"/>
        <v>Oct</v>
      </c>
      <c r="G331" t="s">
        <v>2067</v>
      </c>
      <c r="H331" t="s">
        <v>2552</v>
      </c>
      <c r="I331" t="s">
        <v>119</v>
      </c>
      <c r="J331" s="48" t="s">
        <v>2553</v>
      </c>
      <c r="K331" t="s">
        <v>20</v>
      </c>
      <c r="L331" t="s">
        <v>2554</v>
      </c>
      <c r="N331" s="48" t="s">
        <v>2555</v>
      </c>
      <c r="Q331" s="48" t="s">
        <v>2556</v>
      </c>
      <c r="S331" t="s">
        <v>2510</v>
      </c>
      <c r="T331" s="6" t="str">
        <f t="shared" si="33"/>
        <v>No Progress</v>
      </c>
      <c r="U331" s="48" t="s">
        <v>2557</v>
      </c>
      <c r="V331" t="str">
        <f t="shared" si="34"/>
        <v>workinstartups.com</v>
      </c>
      <c r="W331" s="48" t="s">
        <v>2608</v>
      </c>
      <c r="X331" t="str">
        <f t="shared" si="35"/>
        <v>Positive</v>
      </c>
      <c r="Y331" s="72"/>
    </row>
    <row r="332" spans="1:25" x14ac:dyDescent="0.3">
      <c r="A332" s="6">
        <v>331</v>
      </c>
      <c r="B332" s="78">
        <v>43385</v>
      </c>
      <c r="C332" s="7" t="str">
        <f t="shared" si="30"/>
        <v>2018</v>
      </c>
      <c r="D332" s="7" t="str">
        <f t="shared" si="31"/>
        <v>Oct</v>
      </c>
      <c r="E332" s="78">
        <v>43385</v>
      </c>
      <c r="F332" s="7" t="str">
        <f t="shared" si="32"/>
        <v>Oct</v>
      </c>
      <c r="G332" s="79" t="s">
        <v>32</v>
      </c>
      <c r="H332" s="79" t="s">
        <v>2558</v>
      </c>
      <c r="I332" s="79" t="s">
        <v>618</v>
      </c>
      <c r="J332" s="80" t="s">
        <v>2559</v>
      </c>
      <c r="K332" s="79" t="s">
        <v>20</v>
      </c>
      <c r="L332" s="79" t="s">
        <v>2560</v>
      </c>
      <c r="M332" s="79"/>
      <c r="N332" s="80" t="s">
        <v>2561</v>
      </c>
      <c r="O332" s="79"/>
      <c r="P332" s="79"/>
      <c r="Q332" s="80" t="s">
        <v>2562</v>
      </c>
      <c r="R332" s="79"/>
      <c r="S332" s="79"/>
      <c r="T332" s="6" t="str">
        <f t="shared" si="33"/>
        <v>No Progress</v>
      </c>
      <c r="U332" s="80" t="s">
        <v>2563</v>
      </c>
      <c r="V332" t="str">
        <f t="shared" si="34"/>
        <v>www.techinasia.com</v>
      </c>
      <c r="W332" s="80" t="s">
        <v>2609</v>
      </c>
      <c r="X332" t="str">
        <f t="shared" si="35"/>
        <v>Neutral</v>
      </c>
      <c r="Y332" s="72"/>
    </row>
    <row r="333" spans="1:25" x14ac:dyDescent="0.3">
      <c r="A333" s="6">
        <v>332</v>
      </c>
      <c r="B333" s="46">
        <v>43385</v>
      </c>
      <c r="C333" s="7" t="str">
        <f t="shared" si="30"/>
        <v>2018</v>
      </c>
      <c r="D333" s="7" t="str">
        <f t="shared" si="31"/>
        <v>Oct</v>
      </c>
      <c r="E333" s="46">
        <v>43385</v>
      </c>
      <c r="F333" s="7" t="str">
        <f t="shared" si="32"/>
        <v>Oct</v>
      </c>
      <c r="G333" s="54" t="s">
        <v>26</v>
      </c>
      <c r="H333" s="54" t="s">
        <v>2564</v>
      </c>
      <c r="I333" s="54" t="s">
        <v>1015</v>
      </c>
      <c r="J333" s="81" t="s">
        <v>2565</v>
      </c>
      <c r="K333" s="54" t="s">
        <v>20</v>
      </c>
      <c r="L333" s="54" t="s">
        <v>2566</v>
      </c>
      <c r="N333" s="81" t="s">
        <v>2567</v>
      </c>
      <c r="Q333" s="48" t="s">
        <v>2568</v>
      </c>
      <c r="S333" t="s">
        <v>2569</v>
      </c>
      <c r="T333" s="6" t="str">
        <f t="shared" si="33"/>
        <v>No Progress</v>
      </c>
      <c r="U333" s="48" t="s">
        <v>2570</v>
      </c>
      <c r="V333" t="str">
        <f t="shared" si="34"/>
        <v>www.f6s.com</v>
      </c>
      <c r="W333" s="48" t="s">
        <v>2610</v>
      </c>
      <c r="X333" t="str">
        <f t="shared" si="35"/>
        <v>Positive</v>
      </c>
      <c r="Y333" s="72"/>
    </row>
    <row r="334" spans="1:25" x14ac:dyDescent="0.3">
      <c r="A334" s="6">
        <v>333</v>
      </c>
      <c r="B334" s="46">
        <v>43385</v>
      </c>
      <c r="C334" s="7" t="str">
        <f t="shared" si="30"/>
        <v>2018</v>
      </c>
      <c r="D334" s="7" t="str">
        <f t="shared" si="31"/>
        <v>Oct</v>
      </c>
      <c r="E334" s="46">
        <v>43385</v>
      </c>
      <c r="F334" s="7" t="str">
        <f t="shared" si="32"/>
        <v>Oct</v>
      </c>
      <c r="G334" s="54" t="s">
        <v>26</v>
      </c>
      <c r="H334" s="54" t="s">
        <v>2571</v>
      </c>
      <c r="I334" s="54" t="s">
        <v>330</v>
      </c>
      <c r="J334" s="81" t="s">
        <v>2572</v>
      </c>
      <c r="K334" s="54" t="s">
        <v>20</v>
      </c>
      <c r="L334" s="54" t="s">
        <v>2573</v>
      </c>
      <c r="N334" s="48" t="s">
        <v>2574</v>
      </c>
      <c r="S334" t="s">
        <v>2569</v>
      </c>
      <c r="T334" s="6" t="str">
        <f t="shared" si="33"/>
        <v>No Progress</v>
      </c>
      <c r="U334" s="48" t="s">
        <v>2575</v>
      </c>
      <c r="V334" t="str">
        <f t="shared" si="34"/>
        <v>www.f6s.com</v>
      </c>
      <c r="W334" s="48" t="s">
        <v>2611</v>
      </c>
      <c r="X334" t="str">
        <f t="shared" si="35"/>
        <v>Positive</v>
      </c>
      <c r="Y334" s="72"/>
    </row>
    <row r="335" spans="1:25" x14ac:dyDescent="0.3">
      <c r="A335" s="6">
        <v>334</v>
      </c>
      <c r="B335" s="46">
        <v>43385</v>
      </c>
      <c r="C335" s="7" t="str">
        <f t="shared" si="30"/>
        <v>2018</v>
      </c>
      <c r="D335" s="7" t="str">
        <f t="shared" si="31"/>
        <v>Oct</v>
      </c>
      <c r="E335" s="46">
        <v>43385</v>
      </c>
      <c r="F335" s="7" t="str">
        <f t="shared" si="32"/>
        <v>Oct</v>
      </c>
      <c r="G335" t="s">
        <v>756</v>
      </c>
      <c r="H335" t="s">
        <v>2576</v>
      </c>
      <c r="I335" t="s">
        <v>1188</v>
      </c>
      <c r="J335" s="48" t="s">
        <v>2577</v>
      </c>
      <c r="K335" t="s">
        <v>20</v>
      </c>
      <c r="L335" t="s">
        <v>2578</v>
      </c>
      <c r="M335" t="s">
        <v>2579</v>
      </c>
      <c r="N335" s="48" t="s">
        <v>2580</v>
      </c>
      <c r="Q335" s="48" t="s">
        <v>2581</v>
      </c>
      <c r="S335" t="s">
        <v>2569</v>
      </c>
      <c r="T335" s="6" t="str">
        <f t="shared" si="33"/>
        <v>No Progress</v>
      </c>
      <c r="U335" s="48" t="s">
        <v>2582</v>
      </c>
      <c r="V335" t="str">
        <f t="shared" si="34"/>
        <v>www.f6s.com</v>
      </c>
      <c r="W335" s="48" t="s">
        <v>2612</v>
      </c>
      <c r="X335" t="str">
        <f t="shared" si="35"/>
        <v>Positive</v>
      </c>
      <c r="Y335" s="72"/>
    </row>
    <row r="336" spans="1:25" x14ac:dyDescent="0.3">
      <c r="A336" s="6">
        <v>335</v>
      </c>
      <c r="B336" s="46">
        <v>43385</v>
      </c>
      <c r="C336" s="7" t="str">
        <f t="shared" si="30"/>
        <v>2018</v>
      </c>
      <c r="D336" s="7" t="str">
        <f t="shared" si="31"/>
        <v>Oct</v>
      </c>
      <c r="E336" s="46">
        <v>43385</v>
      </c>
      <c r="F336" s="7" t="str">
        <f t="shared" si="32"/>
        <v>Oct</v>
      </c>
      <c r="G336" t="s">
        <v>2067</v>
      </c>
      <c r="H336" t="s">
        <v>2583</v>
      </c>
      <c r="I336" t="s">
        <v>204</v>
      </c>
      <c r="J336" s="48" t="s">
        <v>2584</v>
      </c>
      <c r="K336" t="s">
        <v>20</v>
      </c>
      <c r="L336" t="s">
        <v>2585</v>
      </c>
      <c r="N336" s="48" t="s">
        <v>2586</v>
      </c>
      <c r="S336" t="s">
        <v>2569</v>
      </c>
      <c r="T336" s="6" t="str">
        <f t="shared" si="33"/>
        <v>No Progress</v>
      </c>
      <c r="U336" s="48" t="s">
        <v>2587</v>
      </c>
      <c r="V336" t="str">
        <f t="shared" si="34"/>
        <v>workinstartups.com</v>
      </c>
      <c r="W336" s="48" t="s">
        <v>2613</v>
      </c>
      <c r="X336" t="str">
        <f t="shared" si="35"/>
        <v>Positive</v>
      </c>
      <c r="Y336" s="72"/>
    </row>
    <row r="337" spans="1:25" x14ac:dyDescent="0.3">
      <c r="A337" s="6">
        <v>336</v>
      </c>
      <c r="B337" s="46">
        <v>43385</v>
      </c>
      <c r="C337" s="7" t="str">
        <f t="shared" si="30"/>
        <v>2018</v>
      </c>
      <c r="D337" s="7" t="str">
        <f t="shared" si="31"/>
        <v>Oct</v>
      </c>
      <c r="E337" s="46">
        <v>43385</v>
      </c>
      <c r="F337" s="7" t="str">
        <f t="shared" si="32"/>
        <v>Oct</v>
      </c>
      <c r="G337" t="s">
        <v>2067</v>
      </c>
      <c r="H337" t="s">
        <v>2588</v>
      </c>
      <c r="I337" t="s">
        <v>514</v>
      </c>
      <c r="J337" s="48" t="s">
        <v>2589</v>
      </c>
      <c r="K337" t="s">
        <v>20</v>
      </c>
      <c r="L337" s="47" t="s">
        <v>2590</v>
      </c>
      <c r="M337" t="s">
        <v>2591</v>
      </c>
      <c r="N337" s="48" t="s">
        <v>2592</v>
      </c>
      <c r="Q337" s="48" t="s">
        <v>2593</v>
      </c>
      <c r="S337" t="s">
        <v>2569</v>
      </c>
      <c r="T337" s="6" t="str">
        <f t="shared" si="33"/>
        <v>No Progress</v>
      </c>
      <c r="U337" s="48" t="s">
        <v>2594</v>
      </c>
      <c r="V337" t="str">
        <f t="shared" si="34"/>
        <v>workinstartups.com</v>
      </c>
      <c r="W337" s="48" t="s">
        <v>2614</v>
      </c>
      <c r="X337" t="str">
        <f t="shared" si="35"/>
        <v>Positive</v>
      </c>
      <c r="Y337" s="72"/>
    </row>
    <row r="338" spans="1:25" x14ac:dyDescent="0.3">
      <c r="A338" s="6">
        <v>337</v>
      </c>
      <c r="B338" s="46">
        <v>43385</v>
      </c>
      <c r="C338" s="7" t="str">
        <f t="shared" si="30"/>
        <v>2018</v>
      </c>
      <c r="D338" s="7" t="str">
        <f t="shared" si="31"/>
        <v>Oct</v>
      </c>
      <c r="E338" s="46">
        <v>43385</v>
      </c>
      <c r="F338" s="7" t="str">
        <f t="shared" si="32"/>
        <v>Oct</v>
      </c>
      <c r="G338" t="s">
        <v>490</v>
      </c>
      <c r="H338" t="s">
        <v>2595</v>
      </c>
      <c r="I338" t="s">
        <v>1539</v>
      </c>
      <c r="J338" s="48" t="s">
        <v>2596</v>
      </c>
      <c r="K338" t="s">
        <v>20</v>
      </c>
      <c r="L338" t="s">
        <v>2597</v>
      </c>
      <c r="S338" t="s">
        <v>2598</v>
      </c>
      <c r="T338" s="6" t="str">
        <f t="shared" si="33"/>
        <v>No Progress</v>
      </c>
      <c r="U338" s="48" t="s">
        <v>2599</v>
      </c>
      <c r="V338" t="str">
        <f t="shared" si="34"/>
        <v>workinstartups.com</v>
      </c>
      <c r="W338" s="48" t="s">
        <v>2615</v>
      </c>
      <c r="X338" t="str">
        <f t="shared" si="35"/>
        <v>Neutral</v>
      </c>
      <c r="Y338" s="72"/>
    </row>
  </sheetData>
  <hyperlinks>
    <hyperlink ref="W2" r:id="rId1" xr:uid="{584BB590-B706-4720-B77B-5ABAD26F7010}"/>
    <hyperlink ref="U2" r:id="rId2" xr:uid="{FDF115BC-4879-43B2-835C-94B053143A39}"/>
    <hyperlink ref="U3" r:id="rId3" xr:uid="{C9CA86DE-1E1A-415E-8332-CB4A20F2D487}"/>
    <hyperlink ref="J3" r:id="rId4" xr:uid="{A694E65D-5629-415B-96E2-96C000D67884}"/>
    <hyperlink ref="N4" r:id="rId5" xr:uid="{2CEC18EA-4B2B-42F2-A120-625C4F2EC300}"/>
    <hyperlink ref="W4" r:id="rId6" xr:uid="{EFD1ADC8-E68C-4552-B299-1025E993E379}"/>
    <hyperlink ref="U4" r:id="rId7" xr:uid="{F0F43A5B-68B1-447B-98D8-F2D414F2C8CC}"/>
    <hyperlink ref="Q4" r:id="rId8" xr:uid="{DD32A35B-CAE5-4063-9BCE-DEA4E5BA1139}"/>
    <hyperlink ref="J4" r:id="rId9" xr:uid="{D4ACAE9E-706D-4AC2-ACCC-66417B3E0AD6}"/>
    <hyperlink ref="N5" r:id="rId10" xr:uid="{52068E62-1138-44A0-81ED-F3C1E602A883}"/>
    <hyperlink ref="J5" r:id="rId11" xr:uid="{4B553247-1F6A-4CCD-A6D5-E5400711D7A0}"/>
    <hyperlink ref="W5" r:id="rId12" xr:uid="{3F85944E-9D89-4715-AC52-3AA9C6C010ED}"/>
    <hyperlink ref="U5" r:id="rId13" xr:uid="{33D7C569-4FDE-4008-AAE5-105D2B31B250}"/>
    <hyperlink ref="N6" r:id="rId14" xr:uid="{8A7EAC50-4E14-4986-8734-1A6E86192F31}"/>
    <hyperlink ref="J6" r:id="rId15" xr:uid="{E0315E57-4ED1-4070-A8D9-15AE4C025044}"/>
    <hyperlink ref="U6" r:id="rId16" xr:uid="{C3E44359-F757-478E-BC44-50D17E954F05}"/>
    <hyperlink ref="W6" r:id="rId17" xr:uid="{290E6312-4F37-4E4B-8B90-1162F03C5D5F}"/>
    <hyperlink ref="Q5" r:id="rId18" xr:uid="{02553463-E50D-41B8-9F5C-AD78B1BD9B8A}"/>
    <hyperlink ref="J7" r:id="rId19" xr:uid="{0C5AEA36-F20E-4835-81C9-760DA6A04F5D}"/>
    <hyperlink ref="N7" r:id="rId20" xr:uid="{13B5ACFD-BC7E-4FDA-85B4-D48DA77A2DD6}"/>
    <hyperlink ref="W7" r:id="rId21" xr:uid="{1FBB407A-E0B3-41DF-A37A-45F508B32E7E}"/>
    <hyperlink ref="Q7" r:id="rId22" xr:uid="{16D8ED9C-C3AE-487F-AA06-AB0184A04654}"/>
    <hyperlink ref="J8" r:id="rId23" xr:uid="{C00CBCEE-0EFD-4440-B84E-B2970410059E}"/>
    <hyperlink ref="W8" r:id="rId24" xr:uid="{288430E0-ABF0-4BE7-B91E-1697C5FE35C7}"/>
    <hyperlink ref="N8" r:id="rId25" xr:uid="{6BCCE065-E9A4-47F0-95C2-9B2FBEE3DD2B}"/>
    <hyperlink ref="Q9" r:id="rId26" xr:uid="{90EED4A7-6F89-40C8-BC14-95BC2A43E6F8}"/>
    <hyperlink ref="N9" r:id="rId27" xr:uid="{24ADBE18-4FD4-4E96-B8ED-3769D1F289C8}"/>
    <hyperlink ref="W9" r:id="rId28" xr:uid="{8FDCFDD3-6195-4448-A5DB-9C3AC6547B7E}"/>
    <hyperlink ref="J9" r:id="rId29" xr:uid="{BB8B064E-9568-44C9-9ACA-E594F321E060}"/>
    <hyperlink ref="N10" r:id="rId30" display="Ian@snapscene.sg" xr:uid="{8450B7EB-CF80-4793-A7EE-88C61876EFD7}"/>
    <hyperlink ref="J10" r:id="rId31" xr:uid="{AE4D2D56-67F4-4DEE-A9ED-8F5B48967F65}"/>
    <hyperlink ref="W10" r:id="rId32" xr:uid="{0AE56877-5612-4EDF-9BA9-B66DED2D7735}"/>
    <hyperlink ref="Q11" r:id="rId33" xr:uid="{31347260-E342-4BE0-91F6-0C3F5D4ADE6B}"/>
    <hyperlink ref="N11" r:id="rId34" xr:uid="{C7AFA16A-BC65-4206-BD0A-B3B610008838}"/>
    <hyperlink ref="W11" r:id="rId35" xr:uid="{9511A116-242D-42C0-B020-B209879A2AF8}"/>
    <hyperlink ref="J11" r:id="rId36" xr:uid="{D34EB497-1942-44C1-8A93-47BD1C3CD18B}"/>
    <hyperlink ref="N12" r:id="rId37" xr:uid="{1655876D-ABF9-4B92-BE04-13829558FD74}"/>
    <hyperlink ref="J12" r:id="rId38" xr:uid="{40650031-DBC5-4F89-80FE-E0A070DE5BAE}"/>
    <hyperlink ref="W12" r:id="rId39" xr:uid="{AC6CA18E-A006-4636-A4F1-A11DEE4A42A6}"/>
    <hyperlink ref="N13" r:id="rId40" xr:uid="{8AF10032-4ADA-4604-829F-BC2E780553A7}"/>
    <hyperlink ref="W13" r:id="rId41" xr:uid="{38C513F8-FD4E-4AF7-AAC8-7EEB40D2F85C}"/>
    <hyperlink ref="U12" r:id="rId42" xr:uid="{28D353F0-EAF1-4F02-9D77-31D0477B1B05}"/>
    <hyperlink ref="U14" r:id="rId43" xr:uid="{7EBC08BF-6E21-4E72-8A9A-AE72FD84587F}"/>
    <hyperlink ref="W14" r:id="rId44" xr:uid="{A16E65A6-6874-49B8-9F2B-8ABAA91B46CF}"/>
    <hyperlink ref="J14" r:id="rId45" xr:uid="{033B6656-C9E9-4071-A1B9-40E6FB5FA074}"/>
    <hyperlink ref="Q14" r:id="rId46" xr:uid="{FB743876-66D2-4288-88AC-1440DB70FA73}"/>
    <hyperlink ref="N14" r:id="rId47" xr:uid="{F302E117-8008-431C-BD18-0B0BAAC770A9}"/>
    <hyperlink ref="N15" r:id="rId48" xr:uid="{FFC2EEEF-2954-4426-B34B-0BDF7BFC4F15}"/>
    <hyperlink ref="W15" r:id="rId49" xr:uid="{9890CB36-5832-44ED-B660-5CF081BB3A68}"/>
    <hyperlink ref="U15" r:id="rId50" xr:uid="{CD9EB201-557C-4622-9050-8534A39A446D}"/>
    <hyperlink ref="J15" r:id="rId51" xr:uid="{054C46FC-7EA3-4B07-81A1-368C387884A4}"/>
    <hyperlink ref="Q15" r:id="rId52" xr:uid="{30E696BE-7FB9-42CB-97DD-A4D7F556615A}"/>
    <hyperlink ref="J16" r:id="rId53" xr:uid="{9095A736-5A53-4101-B113-AF1A19459796}"/>
    <hyperlink ref="U16" r:id="rId54" xr:uid="{B25F366F-DEC4-49FD-9569-9EDDCFC276B8}"/>
    <hyperlink ref="W16" r:id="rId55" xr:uid="{17C3C93D-6239-4A29-92C3-A637D2D34763}"/>
    <hyperlink ref="N16" r:id="rId56" xr:uid="{6193FF5B-E301-4B38-88F9-FB5E987E2022}"/>
    <hyperlink ref="Q16" r:id="rId57" xr:uid="{FE56BF05-3417-457F-A741-8FAE0FE99D4D}"/>
    <hyperlink ref="J17" r:id="rId58" xr:uid="{052362A4-E138-44AE-9504-B26878215878}"/>
    <hyperlink ref="U17" r:id="rId59" xr:uid="{F4565C0D-6FF1-42A3-A334-D25710ABB14B}"/>
    <hyperlink ref="W17" r:id="rId60" xr:uid="{7308DC32-7094-4CBC-BD06-931D7BE97A94}"/>
    <hyperlink ref="N18" r:id="rId61" xr:uid="{C437311C-E66F-43EC-A04F-3C517E5A917B}"/>
    <hyperlink ref="U18" r:id="rId62" xr:uid="{53647572-6457-4584-9474-D547F281D20A}"/>
    <hyperlink ref="W18" r:id="rId63" xr:uid="{C2C5027F-FDDA-4C41-98AA-2E7A397E433B}"/>
    <hyperlink ref="J18" r:id="rId64" xr:uid="{858D1AB3-7C40-456E-AF96-48985AE1C651}"/>
    <hyperlink ref="U19" r:id="rId65" xr:uid="{C6E118D4-F290-4F86-99BB-6667811C7C18}"/>
    <hyperlink ref="W19" r:id="rId66" xr:uid="{2AE535BA-F134-4210-BD99-7D560DCD5E9B}"/>
    <hyperlink ref="J19" r:id="rId67" xr:uid="{9F008968-92A8-4C52-8EA1-D9B9B04B0A2B}"/>
    <hyperlink ref="N19" r:id="rId68" xr:uid="{10F6C1ED-AA5A-4CDB-A069-B3EE327903E1}"/>
    <hyperlink ref="U20" r:id="rId69" xr:uid="{60D9AB6E-ECB8-4838-90C6-471E6A4F3D8B}"/>
    <hyperlink ref="N20" r:id="rId70" xr:uid="{94F42002-DD95-42A1-9F42-1B1A7B86CE40}"/>
    <hyperlink ref="N21" r:id="rId71" xr:uid="{F3C30A4A-264A-452C-A63F-09DA2BDBB66E}"/>
    <hyperlink ref="W21" r:id="rId72" xr:uid="{E58466A4-FC41-46FA-866E-5B5F700B5C8A}"/>
    <hyperlink ref="U21" r:id="rId73" xr:uid="{88D2FF45-603C-47A7-9318-85A49B7F2EC5}"/>
    <hyperlink ref="J21" r:id="rId74" xr:uid="{E7876E55-0392-4539-95C0-3543B4FF7DD1}"/>
    <hyperlink ref="U22" r:id="rId75" xr:uid="{9EDFACB0-D5EB-43FC-9BB5-216EA75DC47B}"/>
    <hyperlink ref="W22" r:id="rId76" xr:uid="{F3D78198-74F4-4D34-A80C-00CD2A96EEA4}"/>
    <hyperlink ref="J22" r:id="rId77" xr:uid="{BC354B63-6829-43F9-A485-83F197F29D79}"/>
    <hyperlink ref="N22" r:id="rId78" display="MARCO@one.io" xr:uid="{089F6EA6-C121-4D2E-8333-BE796E97F967}"/>
    <hyperlink ref="N23" r:id="rId79" xr:uid="{DBB4E575-A0B3-43E7-93DC-FDA6653D0800}"/>
    <hyperlink ref="W23" r:id="rId80" xr:uid="{DBCF249A-9070-485C-A3AE-C2B4E5A75E3F}"/>
    <hyperlink ref="U23" r:id="rId81" xr:uid="{62376E22-9F71-43CF-85DE-B3C3352024AE}"/>
    <hyperlink ref="J23" r:id="rId82" xr:uid="{242342BC-FFD6-4F94-AE41-93D9FB605D5E}"/>
    <hyperlink ref="Q23" r:id="rId83" xr:uid="{F1FC56BD-4EF5-4E6F-8801-1177AF9B444E}"/>
    <hyperlink ref="Q24" r:id="rId84" xr:uid="{DBACBEC5-1333-4C2B-9A08-0A89E10954DE}"/>
    <hyperlink ref="W24" r:id="rId85" xr:uid="{853AC03E-CDA4-4379-8E78-3926146973CD}"/>
    <hyperlink ref="U24" r:id="rId86" xr:uid="{65220000-394F-4DB5-9F0C-7002917369DC}"/>
    <hyperlink ref="N24" r:id="rId87" xr:uid="{3E6DD896-FC91-4F58-A1C4-A1969198E7E9}"/>
    <hyperlink ref="N25" r:id="rId88" display="Sk@collabhero.com" xr:uid="{63E4FF2F-2062-4D05-8AC6-78C213677AF3}"/>
    <hyperlink ref="W25" r:id="rId89" xr:uid="{27160E5E-22BF-4C22-8998-16360F4FE6A5}"/>
    <hyperlink ref="U25" r:id="rId90" xr:uid="{5763406B-A4F2-4AB9-A62D-BEBBC2074917}"/>
    <hyperlink ref="J25" r:id="rId91" display="http://www.collabhero.com/" xr:uid="{CB0605B7-4AFA-4990-9217-7D9C557B4B16}"/>
    <hyperlink ref="J26" r:id="rId92" xr:uid="{56CAE4C6-AFF9-41FF-B8C8-D44E4D25CD15}"/>
    <hyperlink ref="W26" r:id="rId93" xr:uid="{5529E1F4-9239-4C7F-A0F5-A477B5D79FCF}"/>
    <hyperlink ref="Q26" r:id="rId94" xr:uid="{6C693187-03FD-488A-A774-3FE32420136B}"/>
    <hyperlink ref="U26" r:id="rId95" xr:uid="{CF2E7FC5-0A76-41B1-8DCD-43FCB6B42B44}"/>
    <hyperlink ref="U27" r:id="rId96" xr:uid="{D8336045-C600-4BE3-BF5A-A544059FC999}"/>
    <hyperlink ref="W27" r:id="rId97" xr:uid="{29A50A34-E46A-46B2-8FF6-A62D44FD9CF8}"/>
    <hyperlink ref="J27" r:id="rId98" xr:uid="{1A7A0426-EE83-4B75-A65B-C58E5D938384}"/>
    <hyperlink ref="N26" r:id="rId99" xr:uid="{706D1CAC-2819-4AE6-B95B-4C9D37262B13}"/>
    <hyperlink ref="N27" r:id="rId100" xr:uid="{D3AB9A49-9A09-4539-8171-E91028208AAA}"/>
    <hyperlink ref="Q28" r:id="rId101" xr:uid="{51741223-2056-4DA3-935A-6F08516183A0}"/>
    <hyperlink ref="J28" r:id="rId102" xr:uid="{1AFC89B1-1EF0-4E38-B4B8-E5C1189F91BB}"/>
    <hyperlink ref="N28" r:id="rId103" xr:uid="{DD9A4FFB-6675-473C-BB41-35FFA3F14546}"/>
    <hyperlink ref="W28" r:id="rId104" xr:uid="{F8EEC50B-F21E-4BF7-B464-04BF6DF12295}"/>
    <hyperlink ref="U28" r:id="rId105" xr:uid="{864123D0-9BF6-46F0-AED7-A8C2EAA1B548}"/>
    <hyperlink ref="N29" r:id="rId106" display="MICHAEL@dioworksgroup.com" xr:uid="{77D1D396-63E1-4983-8586-3A3C3A5C1C34}"/>
    <hyperlink ref="J29" r:id="rId107" xr:uid="{025B56A6-9B59-4FFE-B7BD-C2FA9547DB04}"/>
    <hyperlink ref="U29" r:id="rId108" xr:uid="{22A121EF-20BA-4F2A-9527-04A199659D32}"/>
    <hyperlink ref="W29" r:id="rId109" xr:uid="{2B9988F6-44DE-4EC6-BD47-A8821E8855C0}"/>
    <hyperlink ref="U30" r:id="rId110" xr:uid="{D67A6CC2-EBB3-49D8-ACEF-EEF969EE9A09}"/>
    <hyperlink ref="W30" r:id="rId111" xr:uid="{EA295C6B-B072-4FE7-98E2-51448D4177A4}"/>
    <hyperlink ref="N30" r:id="rId112" xr:uid="{2D396A3C-D36B-47B6-891D-3CCB43DD8D6B}"/>
    <hyperlink ref="J30" r:id="rId113" xr:uid="{A21B5F44-FE84-4585-A97A-D5C75D026473}"/>
    <hyperlink ref="Q30" r:id="rId114" xr:uid="{1B5DB60A-3205-47AA-94CE-506EEBDD4B39}"/>
    <hyperlink ref="U31" r:id="rId115" xr:uid="{16CA9894-2088-4407-9011-BFF062879E4B}"/>
    <hyperlink ref="W31" r:id="rId116" xr:uid="{E6FE0C5E-6C59-4C1C-A18B-4AB3DE3F783F}"/>
    <hyperlink ref="J32" r:id="rId117" xr:uid="{739BBD00-3DAB-428F-BAC6-ADA529ADAD41}"/>
    <hyperlink ref="J31" r:id="rId118" xr:uid="{35D26B21-790D-4F99-B8CA-01494D86AB85}"/>
    <hyperlink ref="W32" r:id="rId119" xr:uid="{169CE093-66AA-4320-8904-E342DBF50DA8}"/>
    <hyperlink ref="U32" r:id="rId120" xr:uid="{BFFEBF58-201A-4503-AACF-7770042077AA}"/>
    <hyperlink ref="N32" r:id="rId121" xr:uid="{3741A7C2-1B8C-4F79-883F-1F2DD21B549B}"/>
    <hyperlink ref="U33" r:id="rId122" xr:uid="{6677A99C-B9DD-43AF-83AF-18386F359797}"/>
    <hyperlink ref="W33" r:id="rId123" xr:uid="{36A7CA09-AE66-427F-BECF-374FB897C860}"/>
    <hyperlink ref="Q33" r:id="rId124" display="sales@actigage.com" xr:uid="{1A87132D-95B9-4419-982E-A39D45F63F30}"/>
    <hyperlink ref="J33" r:id="rId125" xr:uid="{5F08CF6D-FF1F-450C-AA49-EEDC902295DA}"/>
    <hyperlink ref="J34" r:id="rId126" xr:uid="{26BEA8C0-6105-4CD6-B748-AE084667CF63}"/>
    <hyperlink ref="Q34" r:id="rId127" xr:uid="{9A2E142D-0B2F-406D-B0BC-7C618763ADF5}"/>
    <hyperlink ref="U34" r:id="rId128" xr:uid="{3AF7CAB4-149E-4C4B-BADA-F796BA8510F4}"/>
    <hyperlink ref="W34" r:id="rId129" xr:uid="{0AA3C2C4-360D-468E-A8A6-EDC48A895EF6}"/>
    <hyperlink ref="N34" r:id="rId130" xr:uid="{21115015-F31E-4F15-A495-5C614D7FF81C}"/>
    <hyperlink ref="N35" r:id="rId131" xr:uid="{16223142-FE1C-4928-9EF9-4BC0FD9561DD}"/>
    <hyperlink ref="J35" r:id="rId132" xr:uid="{161DE3D2-FB7F-4F81-BA27-172DFA65253E}"/>
    <hyperlink ref="Q35" r:id="rId133" xr:uid="{DC11B012-A185-438A-B659-215286A57978}"/>
    <hyperlink ref="W35" r:id="rId134" xr:uid="{8F07168D-B6B1-4F1D-970E-B75637138BF9}"/>
    <hyperlink ref="U35" r:id="rId135" xr:uid="{F2CEF06A-17E2-431D-BFFA-2D1549BBB0A4}"/>
    <hyperlink ref="J36" r:id="rId136" xr:uid="{97FB3F34-9F8B-4957-A1D2-DA62EFA92369}"/>
    <hyperlink ref="W36" r:id="rId137" xr:uid="{F8800DD6-2D11-4916-A3D5-2C575D10B0DB}"/>
    <hyperlink ref="U36" r:id="rId138" xr:uid="{4C8670BE-418A-47C9-BFB6-517FBF808CBF}"/>
    <hyperlink ref="Q36" r:id="rId139" xr:uid="{F2D88359-A0D1-4A69-A761-0DDD1BAD4D16}"/>
    <hyperlink ref="N36" r:id="rId140" xr:uid="{AAF9A709-B4EF-4F00-9E83-CD091B34B37E}"/>
    <hyperlink ref="Q37" r:id="rId141" xr:uid="{BFAA9CC3-CBA0-49AD-BB8E-BEE8576626FE}"/>
    <hyperlink ref="J37" r:id="rId142" xr:uid="{027E0F5F-3D73-4BFB-AC51-24D500225064}"/>
    <hyperlink ref="N37" r:id="rId143" xr:uid="{43C5135E-23BE-4A41-A67B-195519FB23BB}"/>
    <hyperlink ref="W37" r:id="rId144" xr:uid="{561F425D-F558-4559-AE3F-F10153ECA029}"/>
    <hyperlink ref="U37" r:id="rId145" xr:uid="{E13A5C9A-A3B2-4669-B881-29B232FDD870}"/>
    <hyperlink ref="N38" r:id="rId146" xr:uid="{1A38B86C-3D62-44BA-83BB-82EFCA6B0754}"/>
    <hyperlink ref="J38" r:id="rId147" xr:uid="{D557A65F-945C-487B-A3DB-7D440AA71A4A}"/>
    <hyperlink ref="W38" r:id="rId148" xr:uid="{7053A9CC-278B-48A6-AA95-C7C683821E6E}"/>
    <hyperlink ref="U38" r:id="rId149" xr:uid="{1BF104CF-7740-4390-9184-FFC02BFD1FE4}"/>
    <hyperlink ref="W39" r:id="rId150" xr:uid="{B5271013-8787-4CED-AAA9-32DB2FA5C630}"/>
    <hyperlink ref="U39" r:id="rId151" xr:uid="{8D65A3B5-399F-4979-8504-5E56E2EE75C8}"/>
    <hyperlink ref="J39" r:id="rId152" xr:uid="{BAB84C3D-700B-4519-9C9F-CD14CABFA024}"/>
    <hyperlink ref="N39" r:id="rId153" xr:uid="{152BF558-A5E8-48F8-8DA6-9F7E907E90A8}"/>
    <hyperlink ref="N40" r:id="rId154" xr:uid="{7668E59B-449F-4517-A883-C27D7C135D15}"/>
    <hyperlink ref="W40" r:id="rId155" xr:uid="{7F831937-73CF-465B-AF70-50ECD8C1DDEE}"/>
    <hyperlink ref="U40" r:id="rId156" xr:uid="{55E5E1D0-FBD8-4CFA-A861-145B813BB71C}"/>
    <hyperlink ref="J40" r:id="rId157" xr:uid="{EC04E6FC-C4D5-4286-B325-0D02B67F6676}"/>
    <hyperlink ref="Q40" r:id="rId158" xr:uid="{B4920EE9-6829-4DB7-9A3F-A2A954A527BA}"/>
    <hyperlink ref="N41" r:id="rId159" xr:uid="{E762EC45-6B4B-48B3-A9AE-EF2DFF3C2996}"/>
    <hyperlink ref="W41" r:id="rId160" xr:uid="{F219F2E3-EDE1-4259-888E-29310A4888AA}"/>
    <hyperlink ref="U41" r:id="rId161" xr:uid="{98E0A0B8-B50B-40BF-87A3-699179F41A67}"/>
    <hyperlink ref="J41" r:id="rId162" xr:uid="{BF6BC6B9-E983-4DAD-8B1D-EA503FB9E9E0}"/>
    <hyperlink ref="Q41" r:id="rId163" xr:uid="{4B60B0BA-3DFF-4A48-92C2-535DFBB80DBB}"/>
    <hyperlink ref="N42" r:id="rId164" xr:uid="{D7B2F162-22D0-43B2-9706-6CF73638378E}"/>
    <hyperlink ref="W42" r:id="rId165" xr:uid="{4B01129B-D965-4FA8-9B91-970D981C3E3A}"/>
    <hyperlink ref="U42" r:id="rId166" xr:uid="{A896980A-055A-4C17-B8AB-8F2AA47AC10E}"/>
    <hyperlink ref="J42" r:id="rId167" xr:uid="{352B4B34-84E8-40FF-B924-8AACA882C336}"/>
    <hyperlink ref="Q42" r:id="rId168" xr:uid="{015C99F5-7B4D-44B5-83C7-EFD589819E01}"/>
    <hyperlink ref="J43" r:id="rId169" xr:uid="{7A5A21F8-1E7D-413B-9226-CABA507F91B8}"/>
    <hyperlink ref="N43" r:id="rId170" xr:uid="{F12C6B36-63FE-497D-BAF7-6D58B92D460D}"/>
    <hyperlink ref="Q43" r:id="rId171" xr:uid="{C98EE434-A3DD-4C51-8151-B1ABB706ADF0}"/>
    <hyperlink ref="W43" r:id="rId172" xr:uid="{4709BE9D-4B23-44F6-B397-9939DEBC6395}"/>
    <hyperlink ref="U43" r:id="rId173" xr:uid="{3A486EFF-146D-4B48-AE57-F782143D0400}"/>
    <hyperlink ref="W44" r:id="rId174" xr:uid="{0C60F09E-E675-46AF-9298-33617C90A0CB}"/>
    <hyperlink ref="U44" r:id="rId175" xr:uid="{0F6CF8D4-99EC-4F13-BF93-B685289CDF2F}"/>
    <hyperlink ref="N44" r:id="rId176" xr:uid="{10E770BD-1053-4650-A1A0-C0B36860FECD}"/>
    <hyperlink ref="Q44" r:id="rId177" xr:uid="{41919933-E918-432D-A0B5-FAE30FE990BA}"/>
    <hyperlink ref="W45" r:id="rId178" xr:uid="{9DE8187D-CDED-4786-85E0-D32C4C61359A}"/>
    <hyperlink ref="U45" r:id="rId179" xr:uid="{9869BCE4-4B06-42BF-ACC5-D8F26565AD5F}"/>
    <hyperlink ref="N45" r:id="rId180" xr:uid="{3A55F829-4859-49A4-82A9-C18A5C0C151F}"/>
    <hyperlink ref="J45" r:id="rId181" display="https://www.pointhacks.com.au/  - " xr:uid="{69203707-9F78-4D64-94C1-6EC77BF385BC}"/>
    <hyperlink ref="J44" r:id="rId182" xr:uid="{8F231B22-28BC-4BDB-B7AB-845E9684049C}"/>
    <hyperlink ref="J46" r:id="rId183" xr:uid="{ED8501FB-7E7D-4B9C-8593-5D99DF696FB4}"/>
    <hyperlink ref="N46" r:id="rId184" xr:uid="{D62A7FE6-2AE1-4507-B7B0-58CEC5D69501}"/>
    <hyperlink ref="U46" r:id="rId185" xr:uid="{49DABDD3-D6FA-4DD6-92CD-95CCB240F994}"/>
    <hyperlink ref="N47" r:id="rId186" xr:uid="{8133226E-805A-43E1-88C3-4C30AA842CEF}"/>
    <hyperlink ref="W47" r:id="rId187" xr:uid="{DBE369C1-CE72-4B6A-AD85-5AFB472A6800}"/>
    <hyperlink ref="U47" r:id="rId188" xr:uid="{FADA6B93-77FD-4A40-94FF-812111DB802C}"/>
    <hyperlink ref="J47" r:id="rId189" xr:uid="{252EA0EA-C33A-472D-9218-5EBC4BF2D23B}"/>
    <hyperlink ref="Q47" r:id="rId190" xr:uid="{39728BC1-3E06-4504-9035-7D6F84AEF46E}"/>
    <hyperlink ref="J48" r:id="rId191" xr:uid="{688DCB2C-A26F-4F61-B531-513593D10E93}"/>
    <hyperlink ref="W48" r:id="rId192" xr:uid="{717BFA70-B517-4E50-9DD3-9876FC9DA9F3}"/>
    <hyperlink ref="U48" r:id="rId193" xr:uid="{111269F8-F8B3-42BB-BF48-87E0AE299523}"/>
    <hyperlink ref="N48" r:id="rId194" xr:uid="{471F708A-0915-48CF-8455-4B5E1EC87DB9}"/>
    <hyperlink ref="Q48" r:id="rId195" xr:uid="{F13F2C96-1E8D-4BDE-9D0E-B4ABDD025213}"/>
    <hyperlink ref="N49" r:id="rId196" xr:uid="{08A6F3C9-382D-4F86-B830-E1DAEF6A96B0}"/>
    <hyperlink ref="W49" r:id="rId197" xr:uid="{18900030-5027-4601-B71E-565BC324DDED}"/>
    <hyperlink ref="U49" r:id="rId198" xr:uid="{9ED194F9-6704-4B64-81C1-86152710097A}"/>
    <hyperlink ref="J49" r:id="rId199" xr:uid="{3DB1CEDB-D4DC-4A23-AC2F-DA1E88D59D67}"/>
    <hyperlink ref="N50" r:id="rId200" xr:uid="{515891DD-8DC4-42B6-AECA-0926309B66D9}"/>
    <hyperlink ref="J50" r:id="rId201" xr:uid="{522B5A46-A8EF-42A8-8773-E2BB8A89E24B}"/>
    <hyperlink ref="W50" r:id="rId202" xr:uid="{5CB221CF-073F-4661-B83F-4B34098D79B9}"/>
    <hyperlink ref="U50" r:id="rId203" xr:uid="{8170365A-B019-4ACB-AE98-56045B2B043A}"/>
    <hyperlink ref="J51" r:id="rId204" xr:uid="{7F256DA2-E96A-4F16-98A7-BA9E15B499C4}"/>
    <hyperlink ref="W51" r:id="rId205" xr:uid="{4476A513-3416-45E3-9761-D62988700E20}"/>
    <hyperlink ref="U51" r:id="rId206" xr:uid="{B47B1B98-94A4-4AE4-99EB-617EF35E8C16}"/>
    <hyperlink ref="N52" r:id="rId207" display="Sufian@nexasoft.my" xr:uid="{8B9DF6C7-C860-4BFD-85F7-296DF899B982}"/>
    <hyperlink ref="J52" r:id="rId208" xr:uid="{3E138F8C-9C70-44FA-82DD-DE1E0D4D45CC}"/>
    <hyperlink ref="U52" r:id="rId209" xr:uid="{5E65F8BF-15C0-4E8D-8F23-E3E0A64D1ED8}"/>
    <hyperlink ref="W52" r:id="rId210" xr:uid="{54F9C16D-9B8F-495F-AF74-490CA0CEFCCC}"/>
    <hyperlink ref="N53" r:id="rId211" display="Marcus@tetrium.io" xr:uid="{3F0E120B-31F4-4820-9343-421138663DF5}"/>
    <hyperlink ref="W53" r:id="rId212" xr:uid="{515B9D78-70BF-4464-96BA-737C36BA582C}"/>
    <hyperlink ref="U53" r:id="rId213" xr:uid="{17A9F55A-FB75-469F-A8E1-6AAB43505CA0}"/>
    <hyperlink ref="Q53" r:id="rId214" xr:uid="{12E4533D-6CB9-4CD4-8404-56B864DDD9AD}"/>
    <hyperlink ref="Q54" r:id="rId215" xr:uid="{282F9133-DBBB-4D6E-BBD6-394478912BB3}"/>
    <hyperlink ref="W54" r:id="rId216" xr:uid="{DA98A724-A5A7-4FA2-87FD-1F3CD87C555C}"/>
    <hyperlink ref="U54" r:id="rId217" xr:uid="{4668B7DF-C308-4FE4-BE3F-F138FAD5BD72}"/>
    <hyperlink ref="J53" r:id="rId218" xr:uid="{47A13DD7-72CB-4F8D-B727-0A785E5910C1}"/>
    <hyperlink ref="N55" r:id="rId219" xr:uid="{51EEAC03-9531-435B-B441-C5536D84E0FF}"/>
    <hyperlink ref="W55" r:id="rId220" xr:uid="{51B3C272-611E-4B11-AA6B-B3BE5E672395}"/>
    <hyperlink ref="U55" r:id="rId221" xr:uid="{3E820049-85EE-4317-9273-3DDBE8EF96ED}"/>
    <hyperlink ref="J55" r:id="rId222" xr:uid="{1D5C4368-2590-4DB6-B508-1015201784B3}"/>
    <hyperlink ref="Q56" r:id="rId223" xr:uid="{DC3B297F-6B21-4A9E-9084-BEE7FC64F245}"/>
    <hyperlink ref="W56" r:id="rId224" xr:uid="{5491FEC2-BA9B-4972-B000-3B55C1544CD8}"/>
    <hyperlink ref="U56" r:id="rId225" xr:uid="{A4598B16-4A0F-45A8-8294-10DAB95B6DAF}"/>
    <hyperlink ref="N57" r:id="rId226" xr:uid="{4F481D4C-C545-41E1-86FE-C8EDC88D8671}"/>
    <hyperlink ref="J56" r:id="rId227" xr:uid="{6117F6C2-E8D3-46EA-9788-B3B0AA657415}"/>
    <hyperlink ref="J57" r:id="rId228" xr:uid="{ED5E7AF3-27AF-4B59-842D-8FAA86F6709E}"/>
    <hyperlink ref="W57" r:id="rId229" xr:uid="{2864588A-6CA1-4C0E-B531-A597ACCF6569}"/>
    <hyperlink ref="U57" r:id="rId230" xr:uid="{EA942695-42DE-485A-B9FD-D946995EBD45}"/>
    <hyperlink ref="W58" r:id="rId231" xr:uid="{AFAA6CFA-98E2-47DC-B9D5-21F682FE64F7}"/>
    <hyperlink ref="U58" r:id="rId232" xr:uid="{0C3C7930-C524-4342-A0E8-E89E4BCD4E75}"/>
    <hyperlink ref="J58" r:id="rId233" xr:uid="{D6546A13-DB84-4ABE-B357-EE9814DE0FAD}"/>
    <hyperlink ref="N58" r:id="rId234" xr:uid="{070ABBE8-E93B-45AD-8166-2C133A6C1A44}"/>
    <hyperlink ref="Q59" r:id="rId235" xr:uid="{5D8631C4-CD01-4F5F-8030-ED3DD66863A0}"/>
    <hyperlink ref="J59" r:id="rId236" xr:uid="{B281E78D-AE8D-4304-B08B-912AE2281C7B}"/>
    <hyperlink ref="U59" r:id="rId237" xr:uid="{C6243FD6-B97D-4AE9-A713-9BBEF8A624D4}"/>
    <hyperlink ref="Q60" r:id="rId238" xr:uid="{3E7129A8-46F9-4B81-ADD4-2E52754A3B88}"/>
    <hyperlink ref="J60" r:id="rId239" xr:uid="{CF83A155-F297-4227-A363-9E7E2B8B962A}"/>
    <hyperlink ref="W60" r:id="rId240" xr:uid="{407ECAE5-C327-4FF1-9E44-3A2294853AE2}"/>
    <hyperlink ref="U60" r:id="rId241" xr:uid="{A5986990-020A-4269-A096-EACEB0DE0124}"/>
    <hyperlink ref="N61" r:id="rId242" xr:uid="{5254000C-D942-4CF5-B0ED-3AC7398BF090}"/>
    <hyperlink ref="W61" r:id="rId243" xr:uid="{80F97A29-5E91-496E-9D83-85D1CC5B42D4}"/>
    <hyperlink ref="U61" r:id="rId244" xr:uid="{887B5BEB-8D2D-45F4-A00A-341A76008CB4}"/>
    <hyperlink ref="J61" r:id="rId245" xr:uid="{6565FCB9-76DC-44BF-B90B-C3296E51A82B}"/>
    <hyperlink ref="W62" r:id="rId246" xr:uid="{AB5E361B-B827-41BC-B93B-6BB0A017429B}"/>
    <hyperlink ref="U62" r:id="rId247" xr:uid="{FDFF9B3F-C4CD-45F8-B42B-C79D9072E4E3}"/>
    <hyperlink ref="N62" r:id="rId248" xr:uid="{F13D5C25-8E56-497F-9554-8E7B965981D9}"/>
    <hyperlink ref="N60" r:id="rId249" display="chris@immevr.com" xr:uid="{E5DD2D25-7DE6-47CC-8657-3B2CA51FCAB6}"/>
    <hyperlink ref="Q63" r:id="rId250" xr:uid="{1F9F8FE2-06C0-4A2B-9506-3226C8D68906}"/>
    <hyperlink ref="J63" r:id="rId251" xr:uid="{CE7D2D9D-6EB1-4738-B4A2-C65B0506A6D0}"/>
    <hyperlink ref="P63" r:id="rId252" xr:uid="{035D4FBF-F028-4433-BF8C-2550943BB16A}"/>
    <hyperlink ref="N63" r:id="rId253" xr:uid="{A4D066EC-0DCC-49EC-BB01-89EC6FFB8A83}"/>
    <hyperlink ref="W63" r:id="rId254" xr:uid="{23AC182A-4B60-4BF2-B242-36ACA2721D48}"/>
    <hyperlink ref="U63" r:id="rId255" xr:uid="{EC88E8DB-A5D8-4BAA-9E8A-23630F93006D}"/>
    <hyperlink ref="J64" r:id="rId256" xr:uid="{0C365276-BED4-4F8D-8585-A6D5C61612EC}"/>
    <hyperlink ref="P64" r:id="rId257" xr:uid="{22702C76-45CC-4AD6-9A1A-5620C590B6A1}"/>
    <hyperlink ref="W64" r:id="rId258" xr:uid="{44E78F98-6EB1-49B4-B9C0-E16833399ABC}"/>
    <hyperlink ref="U64" r:id="rId259" xr:uid="{74348401-E639-43BE-B04B-01D4DA97B43E}"/>
    <hyperlink ref="J65" r:id="rId260" xr:uid="{7B5C1B9D-9483-45A6-9508-32AC07738A20}"/>
    <hyperlink ref="W65" r:id="rId261" xr:uid="{0CA729AB-485A-4822-9523-5F9A24400061}"/>
    <hyperlink ref="U65" r:id="rId262" xr:uid="{3A4559F1-EE7C-4624-ABA6-288174241CE2}"/>
    <hyperlink ref="J66" r:id="rId263" xr:uid="{432074C7-FA37-40D2-AF14-7BD9A11DF29D}"/>
    <hyperlink ref="W66" r:id="rId264" xr:uid="{2080FA1C-3800-4E4E-B2E6-03D29F91DE15}"/>
    <hyperlink ref="U66" r:id="rId265" xr:uid="{BF1CABF2-BFFB-491F-9970-B6EA31272FB9}"/>
    <hyperlink ref="N66" r:id="rId266" xr:uid="{0ED02D3B-0C9E-4AA8-8D27-7F3B208333CB}"/>
    <hyperlink ref="N67" r:id="rId267" xr:uid="{ACB93138-8E6D-4D17-94F8-A6C9B3E4CA70}"/>
    <hyperlink ref="W67" r:id="rId268" xr:uid="{FF734111-69AC-47A6-80F3-B3B329E89D89}"/>
    <hyperlink ref="U67" r:id="rId269" xr:uid="{49FF6D6E-9638-430B-B452-0DC29D3EFA03}"/>
    <hyperlink ref="J67" r:id="rId270" xr:uid="{E1404E7F-74C5-4918-9932-F6651B170901}"/>
    <hyperlink ref="Q68" r:id="rId271" xr:uid="{ACDBB6A2-41CD-49EC-9B00-581B1EF07A23}"/>
    <hyperlink ref="J68" r:id="rId272" xr:uid="{D09B3A2B-60C2-4860-BEFF-D3037E5A4B10}"/>
    <hyperlink ref="N68" r:id="rId273" xr:uid="{70E7C141-0D20-41D4-99A9-FE60B2468D24}"/>
    <hyperlink ref="W68" r:id="rId274" xr:uid="{7F304D3C-E8D8-44D5-805B-D0A75FA269EF}"/>
    <hyperlink ref="U68" r:id="rId275" xr:uid="{FAFF37FC-0ECB-47FE-9F6C-9BEA27099937}"/>
    <hyperlink ref="N69" r:id="rId276" display="Jan@kopernio.com" xr:uid="{B3703E85-1C57-40F1-914E-28664423CF01}"/>
    <hyperlink ref="J69" r:id="rId277" xr:uid="{D6CB3AAB-CB1B-49A9-9C5E-9A1530188E5D}"/>
    <hyperlink ref="W69" r:id="rId278" xr:uid="{C4AA8F8D-519C-46F0-BE46-A97B20350031}"/>
    <hyperlink ref="U69" r:id="rId279" xr:uid="{5CA5BDE5-EF6F-422F-BAF9-6AB7EB69A735}"/>
    <hyperlink ref="W70" r:id="rId280" xr:uid="{D7F1BDF0-0665-491E-88F5-DD2BA068585B}"/>
    <hyperlink ref="U70" r:id="rId281" xr:uid="{E331F112-705B-4175-B217-33378B0232A4}"/>
    <hyperlink ref="N70" r:id="rId282" xr:uid="{63CBEA31-B508-4FF9-BC45-00D88C5AFB3A}"/>
    <hyperlink ref="J70" r:id="rId283" xr:uid="{39DF8EA9-7366-441C-B980-9C09A559ACCC}"/>
    <hyperlink ref="Q70" r:id="rId284" xr:uid="{41259C19-4AAC-4F4B-97ED-F550F9B413BC}"/>
    <hyperlink ref="N71" r:id="rId285" xr:uid="{ED13F7BA-A1CD-45EF-B138-E176F3AEF4DF}"/>
    <hyperlink ref="W71" r:id="rId286" xr:uid="{E6B6A2CF-C7D6-48D4-B8CC-F71B4590737F}"/>
    <hyperlink ref="U71" r:id="rId287" xr:uid="{035BF578-DDD3-4565-9560-122987C43750}"/>
    <hyperlink ref="Q71" r:id="rId288" xr:uid="{180D46A7-B662-4200-BD46-17DE61DCFBD0}"/>
    <hyperlink ref="J71" r:id="rId289" xr:uid="{A3CA6F97-033B-4F38-AAE8-183613108782}"/>
    <hyperlink ref="J72" r:id="rId290" xr:uid="{9CEC56A3-3188-449E-8C62-3A3DF0D0597F}"/>
    <hyperlink ref="N72" r:id="rId291" xr:uid="{C1932681-E16C-463E-9629-36881AC66A81}"/>
    <hyperlink ref="Q72" r:id="rId292" xr:uid="{3C8542B4-D8FD-4853-81DF-AD7ADB462405}"/>
    <hyperlink ref="W72" r:id="rId293" xr:uid="{B8F3DBDC-8E0C-4FE6-B216-883A3D54AB18}"/>
    <hyperlink ref="U72" r:id="rId294" xr:uid="{EFF762C9-37C3-4A7F-BDF2-0FA349B2CAAA}"/>
    <hyperlink ref="N73" r:id="rId295" xr:uid="{713C7979-C690-4272-A305-C0C6BCA5E985}"/>
    <hyperlink ref="W73" r:id="rId296" xr:uid="{496786A2-811A-47C3-BC2A-3B1F85AB36E4}"/>
    <hyperlink ref="U73" r:id="rId297" xr:uid="{9E065170-10DC-4C70-89BF-9B99B254B492}"/>
    <hyperlink ref="J73" r:id="rId298" xr:uid="{B52B5D87-140A-4004-B0CB-F7D765447343}"/>
    <hyperlink ref="J54" r:id="rId299" xr:uid="{F845238D-0060-4079-A47E-0F572FE812DD}"/>
    <hyperlink ref="O72" r:id="rId300" xr:uid="{558748BE-9346-44B3-B94E-7DCF9F636BD7}"/>
    <hyperlink ref="J74" r:id="rId301" xr:uid="{9E8E8E9A-80C4-4563-85F5-AD4A7450D002}"/>
    <hyperlink ref="N74" r:id="rId302" xr:uid="{28A43821-B677-42C7-B412-736793177752}"/>
    <hyperlink ref="W74" r:id="rId303" xr:uid="{3BB97B5E-45D2-4E47-8504-FA82C0397056}"/>
    <hyperlink ref="U74" r:id="rId304" xr:uid="{1E24466B-3BAC-45C2-95E3-1AC613997B73}"/>
    <hyperlink ref="Q75" r:id="rId305" xr:uid="{400441F0-E90D-4135-A889-E6F3F0F791D2}"/>
    <hyperlink ref="W75" r:id="rId306" xr:uid="{F32A8068-F8C1-4532-8ED5-F34EE58DE15D}"/>
    <hyperlink ref="U75" r:id="rId307" xr:uid="{CB5008A4-0324-4C3C-9BC6-AA47881CA415}"/>
    <hyperlink ref="J75" r:id="rId308" xr:uid="{0B7AAC00-701D-4EF3-A4C0-B67FEDD31480}"/>
    <hyperlink ref="Q76" r:id="rId309" xr:uid="{37A36A5D-D43D-40A9-B1F8-A8861BBCAD49}"/>
    <hyperlink ref="N76" r:id="rId310" xr:uid="{4D173A93-4D19-459F-865B-037DDDA5F4D3}"/>
    <hyperlink ref="J76" r:id="rId311" xr:uid="{354A63A7-C989-4B94-B1A9-EBCC75BB0B59}"/>
    <hyperlink ref="W76" r:id="rId312" xr:uid="{BBAABC0F-D8F0-4B1C-88D6-C00190CCC640}"/>
    <hyperlink ref="U76" r:id="rId313" xr:uid="{A1F1C493-0ADC-4FD8-ACED-0F00EA3724ED}"/>
    <hyperlink ref="N77" r:id="rId314" xr:uid="{AC6B9190-1430-403F-814E-5BC80B92CF25}"/>
    <hyperlink ref="W77" r:id="rId315" xr:uid="{55A8B5DE-1991-4833-985B-E6F41DF9F254}"/>
    <hyperlink ref="U77" r:id="rId316" xr:uid="{F10FFAF7-5486-48F0-A245-32D5D603E733}"/>
    <hyperlink ref="J77" r:id="rId317" xr:uid="{F180927C-7797-40CC-A015-D7693A8FA2A8}"/>
    <hyperlink ref="Q78" r:id="rId318" xr:uid="{1E642E09-6E20-486A-B345-29E0D7B02C90}"/>
    <hyperlink ref="J78" r:id="rId319" xr:uid="{6B92F4EA-714B-4C8D-B4B3-CCACE9163ECA}"/>
    <hyperlink ref="W78" r:id="rId320" xr:uid="{A92FB01A-6C38-4703-B646-A17DC7C7FDAE}"/>
    <hyperlink ref="U78" r:id="rId321" xr:uid="{076A0DD6-0918-4C7B-B8F7-A8961F087C41}"/>
    <hyperlink ref="R53" r:id="rId322" xr:uid="{240F0938-02E5-4FC6-8F42-C3E7164758D4}"/>
    <hyperlink ref="N65" r:id="rId323" xr:uid="{40F1ED72-FAA9-448F-AA59-9D335F573C77}"/>
    <hyperlink ref="N79" r:id="rId324" xr:uid="{CE58A363-FA9D-4A26-A5AF-38E91F9079A8}"/>
    <hyperlink ref="J79" r:id="rId325" xr:uid="{85A66824-DCB9-4169-93C4-E9150D171928}"/>
    <hyperlink ref="W79" r:id="rId326" xr:uid="{BDFB49F4-6B31-4DBC-9AFF-5CEB198F0BC6}"/>
    <hyperlink ref="U79" r:id="rId327" xr:uid="{58483DCB-027F-4E04-BD1E-0715687EC89A}"/>
    <hyperlink ref="N80" r:id="rId328" xr:uid="{FEF3027A-7D17-47A6-9286-86C29CE08EC1}"/>
    <hyperlink ref="J80" r:id="rId329" xr:uid="{4424984C-C3AD-4365-92AB-478DBC9DC9F4}"/>
    <hyperlink ref="W80" r:id="rId330" xr:uid="{6431572E-5E63-4F5A-9F13-6B25314E31C0}"/>
    <hyperlink ref="U80" r:id="rId331" xr:uid="{12A65ED2-65A9-4B7A-9B0B-28A3B4986CC7}"/>
    <hyperlink ref="N81" r:id="rId332" xr:uid="{F06B8332-5096-44CB-914B-FE2CACAD19D2}"/>
    <hyperlink ref="J81" r:id="rId333" xr:uid="{BFE45A79-EE61-4F05-8393-792FE6897431}"/>
    <hyperlink ref="W81" r:id="rId334" xr:uid="{9A2B09F3-87A6-4D1F-9717-5D4673D0073A}"/>
    <hyperlink ref="U81" r:id="rId335" xr:uid="{E215F0B4-6EE2-48C3-A1C4-AA1C91BB467B}"/>
    <hyperlink ref="N82" r:id="rId336" xr:uid="{8822DAD9-7E30-4452-B351-BAFA520204A5}"/>
    <hyperlink ref="J82" r:id="rId337" xr:uid="{DBB0C1DF-D24D-4157-8431-4059BE705533}"/>
    <hyperlink ref="W82" r:id="rId338" xr:uid="{DB4769C1-C961-4EBC-B5D5-B8C6BB9397FE}"/>
    <hyperlink ref="U82" r:id="rId339" xr:uid="{4C56E75E-FBCC-486E-B877-7BA7BCB90D31}"/>
    <hyperlink ref="N83" r:id="rId340" xr:uid="{50A77813-F07E-4B0A-B99E-091A95BA664C}"/>
    <hyperlink ref="J83" r:id="rId341" xr:uid="{82662C40-C870-445B-9D9A-92046F0E4BAE}"/>
    <hyperlink ref="W83" r:id="rId342" xr:uid="{9F6AAE30-BB73-4EDD-B120-A74F6CF44719}"/>
    <hyperlink ref="U83" r:id="rId343" xr:uid="{26C95925-1E38-49C4-95CC-ABD7C4C24046}"/>
    <hyperlink ref="J84" r:id="rId344" xr:uid="{B2193092-802A-40DC-B85A-EC447600409D}"/>
    <hyperlink ref="Q84" r:id="rId345" xr:uid="{794D7AE3-3901-47F9-8C31-04F8B8A36EF8}"/>
    <hyperlink ref="W84" r:id="rId346" xr:uid="{E47EB895-AAC6-44D3-A8C0-605477F48360}"/>
    <hyperlink ref="U84" r:id="rId347" xr:uid="{9B504BCE-C66D-4BF3-9D3B-CC505800A77A}"/>
    <hyperlink ref="N85" r:id="rId348" xr:uid="{62077FA7-2B44-4F94-9BBF-E9B04B59ECE7}"/>
    <hyperlink ref="W85" r:id="rId349" xr:uid="{EEED2B43-DF6A-40B8-8346-D9147E202AA4}"/>
    <hyperlink ref="U85" r:id="rId350" xr:uid="{FCF1EB01-75F3-49B4-97A9-56205B54067F}"/>
    <hyperlink ref="J85" r:id="rId351" xr:uid="{3F4479A5-0E8C-48C0-8300-A3134ACCD99D}"/>
    <hyperlink ref="W86" r:id="rId352" xr:uid="{45FE136B-C813-4802-86DB-87909F297ECC}"/>
    <hyperlink ref="U86" r:id="rId353" xr:uid="{33467CC9-F340-4FE5-B3A7-54D8E88FE807}"/>
    <hyperlink ref="Q87" r:id="rId354" xr:uid="{2554245C-E5EE-403E-9B2D-EB6EEA1F4B4A}"/>
    <hyperlink ref="W87" r:id="rId355" xr:uid="{2E4600D8-A44B-43FE-A3EF-FB722EF22C79}"/>
    <hyperlink ref="U87" r:id="rId356" xr:uid="{4A647BAB-F2E7-44A2-A833-69645280C1AE}"/>
    <hyperlink ref="J87" r:id="rId357" xr:uid="{A95EB227-A44E-40EB-BBF4-056550EE0658}"/>
    <hyperlink ref="N88" r:id="rId358" xr:uid="{392C5DD3-CBA9-47D2-AADA-4A8287D3D3F7}"/>
    <hyperlink ref="W88" r:id="rId359" xr:uid="{ABE05C70-2216-410C-9EAC-81A0ACE44418}"/>
    <hyperlink ref="U88" r:id="rId360" xr:uid="{EB473883-1D78-48E3-B856-701EB130BE63}"/>
    <hyperlink ref="J88" r:id="rId361" xr:uid="{7D423E03-D8C8-43CD-82AF-585BD20A8CAB}"/>
    <hyperlink ref="W89" r:id="rId362" xr:uid="{C12993FA-96E3-44F7-9BC4-991BEECC02E7}"/>
    <hyperlink ref="U89" r:id="rId363" xr:uid="{8EC92B4D-4792-48AA-9340-9ACDF8160D0D}"/>
    <hyperlink ref="J90" r:id="rId364" xr:uid="{5E4BC3C6-C689-4CE2-B225-D9EC6F44B720}"/>
    <hyperlink ref="W90" r:id="rId365" xr:uid="{A0F2DC4C-9058-4A4E-8A33-C592640B52B3}"/>
    <hyperlink ref="U90" r:id="rId366" xr:uid="{D785A3D6-C39B-44FA-91D9-5BD15FC89CE1}"/>
    <hyperlink ref="W91" r:id="rId367" xr:uid="{2FEE937C-A003-4AAE-AAD8-9395668FD8E4}"/>
    <hyperlink ref="U91" r:id="rId368" xr:uid="{21A408BF-CCBC-4D88-81B7-A8896789B3F3}"/>
    <hyperlink ref="J91" r:id="rId369" xr:uid="{4EE0AF57-6D71-46F0-9629-DB59CE3702D9}"/>
    <hyperlink ref="N91" r:id="rId370" xr:uid="{D7E63ED1-C867-4E62-B3AF-FEE86E9EC51D}"/>
    <hyperlink ref="J92" r:id="rId371" xr:uid="{382466C0-7DCF-4878-B743-C5570CA0F87B}"/>
    <hyperlink ref="W92" r:id="rId372" xr:uid="{EDED96FD-086C-4A71-BBF0-53F5C3C1C709}"/>
    <hyperlink ref="U92" r:id="rId373" xr:uid="{A899C20F-E1E8-4FB4-BB1F-801C779CB870}"/>
    <hyperlink ref="Q93" r:id="rId374" xr:uid="{B70E6BFE-3282-4672-8D2A-F336D40FBDD9}"/>
    <hyperlink ref="N93" r:id="rId375" xr:uid="{77F9EBE6-A7D4-437C-B2C7-8A2854750E22}"/>
    <hyperlink ref="W93" r:id="rId376" xr:uid="{CD24472B-2FF5-4578-9F7C-C5EAA1565C01}"/>
    <hyperlink ref="U93" r:id="rId377" xr:uid="{16AF29B0-2545-4B89-88A1-63F452F677E1}"/>
    <hyperlink ref="J93" r:id="rId378" xr:uid="{D862D177-24E6-45EC-A7A4-DBF115E795F4}"/>
    <hyperlink ref="N94" r:id="rId379" display="max@keyp.io" xr:uid="{6685B385-0349-4E6B-85C2-7E68712B1524}"/>
    <hyperlink ref="J94" r:id="rId380" xr:uid="{27CA780D-4BAA-4CAF-A4BA-3AF573CB826A}"/>
    <hyperlink ref="W94" r:id="rId381" xr:uid="{9166E72B-4D7C-4C9F-AE4F-041E299FE9CC}"/>
    <hyperlink ref="U94" r:id="rId382" xr:uid="{80A0A513-D2D8-4842-B199-6E08AA8F811C}"/>
    <hyperlink ref="N95" r:id="rId383" display="ben@kopernio.com" xr:uid="{65D12AF1-C447-41A5-A0C6-52E0229F27C4}"/>
    <hyperlink ref="W95" r:id="rId384" xr:uid="{FF6F7987-1260-4855-BE51-BD3D02E0E4E5}"/>
    <hyperlink ref="U95" r:id="rId385" xr:uid="{3F395CF1-97F0-475C-B1A4-ABEF13049F80}"/>
    <hyperlink ref="J95" r:id="rId386" xr:uid="{80AD7275-FC89-45EE-A019-118DD4472037}"/>
    <hyperlink ref="N96" r:id="rId387" display="Katlyn@fledglink.com / " xr:uid="{1A6DB427-F838-4450-868B-6810CB6F6C10}"/>
    <hyperlink ref="J96" r:id="rId388" xr:uid="{04E192BB-E4DD-4D1D-81B1-B2B3A9A96E6D}"/>
    <hyperlink ref="W96" r:id="rId389" xr:uid="{E5CFFA75-EF03-483E-8DBD-D51CEC4128F9}"/>
    <hyperlink ref="U96" r:id="rId390" xr:uid="{9A056F3F-DE0F-4224-811E-B08536947DE9}"/>
    <hyperlink ref="N97" r:id="rId391" xr:uid="{037E085A-8B56-4081-B508-DE24AC88A539}"/>
    <hyperlink ref="J97" r:id="rId392" xr:uid="{E0F285CB-3CDE-4757-A43D-019D614E297E}"/>
    <hyperlink ref="W97" r:id="rId393" xr:uid="{31CCFB42-1AA1-4A35-840E-9290C8DA924B}"/>
    <hyperlink ref="U97" r:id="rId394" xr:uid="{A3AA5BF5-1DF9-4169-956B-8CAA0229550A}"/>
    <hyperlink ref="Q98" r:id="rId395" xr:uid="{DAE410EA-0EB4-41F2-BBE5-EB6F3127F009}"/>
    <hyperlink ref="W98" r:id="rId396" xr:uid="{360881EE-3133-4397-8198-C5E1C5638F51}"/>
    <hyperlink ref="U98" r:id="rId397" xr:uid="{AD5D8ED5-24E1-4EC4-B6F5-DB7541D0D364}"/>
    <hyperlink ref="J98" r:id="rId398" xr:uid="{AF680C43-BB91-41BC-8536-CDAB0575B03A}"/>
    <hyperlink ref="N99" r:id="rId399" xr:uid="{2E797566-444D-458B-8C03-38620A96FE85}"/>
    <hyperlink ref="U99" r:id="rId400" xr:uid="{158F1FE5-9BA4-43A7-B0B8-4F002D262109}"/>
    <hyperlink ref="U100" r:id="rId401" xr:uid="{117390C2-4F13-4441-83F5-4BA102D234BC}"/>
    <hyperlink ref="W100" r:id="rId402" xr:uid="{D9E3663C-5391-4FD5-9DA7-C09FDC86E7A6}"/>
    <hyperlink ref="N101" r:id="rId403" xr:uid="{CFECBEAA-8261-4201-BFF3-3772F39DEFDB}"/>
    <hyperlink ref="J101" r:id="rId404" xr:uid="{0178010B-E0B4-44AA-9D16-DB32EBA2909C}"/>
    <hyperlink ref="U101" r:id="rId405" xr:uid="{CC05B0A2-2517-40B8-B8A1-03B0D7DDC0E3}"/>
    <hyperlink ref="N102" r:id="rId406" xr:uid="{D3B51DBD-7FB2-4B53-B049-65FE5BB66436}"/>
    <hyperlink ref="U102" r:id="rId407" xr:uid="{BBD7D602-20CC-4744-ACBA-E909138A92AD}"/>
    <hyperlink ref="W102" r:id="rId408" xr:uid="{74949990-59EF-48B6-B212-97AD2FC3662C}"/>
    <hyperlink ref="J102" r:id="rId409" xr:uid="{6A97B3FF-CCC0-4801-9F35-83D50EDB616B}"/>
    <hyperlink ref="Q102" r:id="rId410" xr:uid="{8A5FC0C3-2780-440F-A3D3-7CD896B6FC2D}"/>
    <hyperlink ref="Q103" r:id="rId411" xr:uid="{B60BF4D8-6733-4B82-B386-6C6045141D04}"/>
    <hyperlink ref="J103" r:id="rId412" xr:uid="{FDEB9D4D-D8A5-42E3-B13E-B04D7395245E}"/>
    <hyperlink ref="W103" r:id="rId413" xr:uid="{EFAE0C01-5155-42A4-AE8D-E76A3F1A1336}"/>
    <hyperlink ref="U103" r:id="rId414" xr:uid="{73CD78DD-A2E0-4DD5-8FC2-75AC009AD6C0}"/>
    <hyperlink ref="N103" r:id="rId415" xr:uid="{CCBE3E25-473D-4CC1-A4E0-FFDBCE48047C}"/>
    <hyperlink ref="N104" r:id="rId416" xr:uid="{20AAF00F-6CD2-402D-BB24-8BCE43B6C0F9}"/>
    <hyperlink ref="W104" r:id="rId417" xr:uid="{27E3B1BD-F603-4191-BCCE-8B28E660B15D}"/>
    <hyperlink ref="U104" r:id="rId418" xr:uid="{B040B98D-8654-4CFF-90B0-EF590A7C1A78}"/>
    <hyperlink ref="J104" r:id="rId419" xr:uid="{57A08D89-A379-43E3-AA06-D23C98802FAF}"/>
    <hyperlink ref="Q105" r:id="rId420" xr:uid="{2960FDB3-7097-443E-84F9-4E1ED7D1604F}"/>
    <hyperlink ref="W105" r:id="rId421" xr:uid="{16CEFE3C-168F-46E0-BA08-BA8467396E43}"/>
    <hyperlink ref="U105" r:id="rId422" xr:uid="{FB31A5E7-9814-46EA-BB17-EFE80039B416}"/>
    <hyperlink ref="J105" r:id="rId423" xr:uid="{F6DE268F-1BBB-4455-ACDC-B4A7018ACDC6}"/>
    <hyperlink ref="N105" r:id="rId424" display="nickmurray@passkit.com" xr:uid="{DB067346-4019-429E-9792-B4009766C9B2}"/>
    <hyperlink ref="J106" r:id="rId425" xr:uid="{15C6642B-564D-4783-A68D-C5A09E18725A}"/>
    <hyperlink ref="W106" r:id="rId426" xr:uid="{55249C17-EE05-4B41-904C-4D13C3C850CB}"/>
    <hyperlink ref="U106" r:id="rId427" xr:uid="{3A9D9183-CE1D-480D-97D1-DC9C98A1A532}"/>
    <hyperlink ref="N107" r:id="rId428" display="Remi.Kanji@platomedical.com" xr:uid="{2278A006-B956-4A38-8B90-AF4F7A4D8D48}"/>
    <hyperlink ref="W107" r:id="rId429" xr:uid="{9BD682A5-4589-4926-9489-0FBD18F7191F}"/>
    <hyperlink ref="U107" r:id="rId430" xr:uid="{F8FA9DF5-B50F-453F-8928-5CD0CB54C9AD}"/>
    <hyperlink ref="J107" r:id="rId431" xr:uid="{08BAEB2A-EBCE-47E2-853E-163DCD4F2C26}"/>
    <hyperlink ref="N108" r:id="rId432" xr:uid="{BC4B3587-03A5-4E40-9042-5BD876D80F50}"/>
    <hyperlink ref="Q108" r:id="rId433" xr:uid="{82B63398-0D8A-47E1-919D-79A07946E28F}"/>
    <hyperlink ref="J108" r:id="rId434" xr:uid="{E259D7DF-4C99-415A-B941-C911CCFAEA30}"/>
    <hyperlink ref="W108" r:id="rId435" xr:uid="{90EBFF09-B86F-400B-8D4E-10E117FD257A}"/>
    <hyperlink ref="U108" r:id="rId436" xr:uid="{AD9A91AF-DD02-42CE-94C7-E0D94C83BF59}"/>
    <hyperlink ref="N109" r:id="rId437" xr:uid="{E60538D6-D3F6-4E1E-BC4D-D8178270F0E4}"/>
    <hyperlink ref="W109" r:id="rId438" xr:uid="{664A2696-A2DC-49EF-A882-BADC1229F461}"/>
    <hyperlink ref="U109" r:id="rId439" xr:uid="{7391DE0D-E32A-4D11-BF3D-DCD89127D096}"/>
    <hyperlink ref="Q109" r:id="rId440" xr:uid="{F64561B0-F342-462D-9F16-EEA262F60E21}"/>
    <hyperlink ref="J109" r:id="rId441" xr:uid="{11E5F67C-0537-42D3-A1FF-F3851F8A006A}"/>
    <hyperlink ref="J110" r:id="rId442" xr:uid="{57407948-69BC-4780-8A25-41ABB4712470}"/>
    <hyperlink ref="U110" r:id="rId443" xr:uid="{B1742874-F89D-4DB2-9202-AB9A37EB5D4B}"/>
    <hyperlink ref="N110" r:id="rId444" display="Sales@ie-pl.com" xr:uid="{4CBA6ADD-593D-4F35-B462-5BB241D5FDB5}"/>
    <hyperlink ref="Q110" r:id="rId445" xr:uid="{234239E2-73EB-4B1C-A05B-7CB01547C0F7}"/>
    <hyperlink ref="Q111" r:id="rId446" xr:uid="{B1E9981D-18F3-483D-9076-9BEDD9B3204B}"/>
    <hyperlink ref="W111" r:id="rId447" xr:uid="{D4739BC5-B066-4CF4-AFAA-3F82EBB30C9E}"/>
    <hyperlink ref="J111" r:id="rId448" xr:uid="{E4440937-ECA7-4B4D-B1C3-F89C8AF9AEC0}"/>
    <hyperlink ref="U111" r:id="rId449" xr:uid="{19236777-D445-451D-9CBC-1AC0D19FB34A}"/>
    <hyperlink ref="Q112" r:id="rId450" display="mingfeng@seedly.sg" xr:uid="{4D682BE7-A8E0-460F-970C-90856488ED03}"/>
    <hyperlink ref="N112" r:id="rId451" xr:uid="{51F5E8FD-9994-47C8-B317-19A51C5AFD10}"/>
    <hyperlink ref="U112" r:id="rId452" xr:uid="{9D16B742-12AF-4BE9-B3C9-A7A73541A83B}"/>
    <hyperlink ref="W112" r:id="rId453" xr:uid="{3F48ADE3-B9F4-457A-8DFD-6D7E79C388CE}"/>
    <hyperlink ref="J112" r:id="rId454" xr:uid="{E1F6821B-3687-4BCB-ADC6-9323A5DE5B41}"/>
    <hyperlink ref="W113" r:id="rId455" xr:uid="{2E53B130-5650-4E44-BE07-E056CE861EC2}"/>
    <hyperlink ref="U113" r:id="rId456" xr:uid="{F29E64BB-8542-493B-95D8-72A53C84297F}"/>
    <hyperlink ref="J113" r:id="rId457" xr:uid="{20BF04CE-5AFD-4994-B194-9A0972E4FDB3}"/>
    <hyperlink ref="N113" r:id="rId458" xr:uid="{1E35FDD8-D16F-4170-9639-BF255A7DE832}"/>
    <hyperlink ref="W114" r:id="rId459" xr:uid="{51253F66-8463-412F-AA74-BA933B59EC5C}"/>
    <hyperlink ref="U114" r:id="rId460" xr:uid="{B94108C5-A3EB-47E1-9DD8-2ADA63E8CA51}"/>
    <hyperlink ref="Q114" r:id="rId461" xr:uid="{C3F8F8E2-8D3C-440C-9755-592EF3BB020A}"/>
    <hyperlink ref="N114" r:id="rId462" xr:uid="{F632A9F0-0E51-4AA3-A595-B91D9650AEDE}"/>
    <hyperlink ref="J114" r:id="rId463" xr:uid="{226A4A41-2910-4288-AC02-45C4FC0B55FB}"/>
    <hyperlink ref="Q115" r:id="rId464" xr:uid="{33174A7A-C52E-4402-91EE-F5C1D5CE1420}"/>
    <hyperlink ref="W115" r:id="rId465" xr:uid="{D6EB00C5-CFF6-4EE4-B211-3DF26426C3BE}"/>
    <hyperlink ref="U115" r:id="rId466" xr:uid="{2E1E434C-EAA0-4750-9899-84BCAD8AED42}"/>
    <hyperlink ref="J115" r:id="rId467" xr:uid="{A937A1A2-B6CA-4ED6-B247-263845754A6D}"/>
    <hyperlink ref="N115" r:id="rId468" xr:uid="{46C97E27-A63A-46C8-8035-9B87C328E048}"/>
    <hyperlink ref="N116" r:id="rId469" xr:uid="{3AE8186F-0A86-4289-BDCE-AF610D37F904}"/>
    <hyperlink ref="J116" r:id="rId470" xr:uid="{B5054F16-4D07-4CF5-ABD6-2A862B25B777}"/>
    <hyperlink ref="Q116" r:id="rId471" xr:uid="{7690161A-D33E-4DDF-AC6D-F3AFFFF46E5E}"/>
    <hyperlink ref="W116" r:id="rId472" xr:uid="{EC18918E-0C5B-4031-8DD5-B352C4DD2D16}"/>
    <hyperlink ref="U116" r:id="rId473" xr:uid="{43B59A4C-56FC-4869-A43F-EEBC54579574}"/>
    <hyperlink ref="N117" r:id="rId474" xr:uid="{C2ABA905-9CA3-4188-911D-84BFAADAA634}"/>
    <hyperlink ref="W117" r:id="rId475" xr:uid="{D8FC88AA-101C-4A61-A834-DB6516A83353}"/>
    <hyperlink ref="U117" r:id="rId476" xr:uid="{0213704E-1779-4D09-9873-46FCC510E3D6}"/>
    <hyperlink ref="J117" r:id="rId477" xr:uid="{3138E793-5E10-4EAA-AB34-C3081E5C1F44}"/>
    <hyperlink ref="W118" r:id="rId478" xr:uid="{6EDF25EC-FF31-4FCE-BB7C-572B38B00DF3}"/>
    <hyperlink ref="Q119" r:id="rId479" xr:uid="{6F086C79-F561-48A0-9659-3EAAF87BBE2C}"/>
    <hyperlink ref="J119" r:id="rId480" xr:uid="{8C7808FF-6120-49C3-BB9D-E833C6815910}"/>
    <hyperlink ref="W119" r:id="rId481" xr:uid="{1ADCD870-A9B4-4F44-9D4D-94D300E93D69}"/>
    <hyperlink ref="U119" r:id="rId482" xr:uid="{9B4522E9-5450-4FB0-9B05-2D66151E32C7}"/>
    <hyperlink ref="W120" r:id="rId483" xr:uid="{F142B368-B1E3-4A0B-97D4-BD5C2C63A5B8}"/>
    <hyperlink ref="U120" r:id="rId484" xr:uid="{95606A36-192A-42DD-AEC5-AFAAE183F0CC}"/>
    <hyperlink ref="J120" r:id="rId485" xr:uid="{9AA9066D-260B-498C-93E7-734E418D3F15}"/>
    <hyperlink ref="Q121" r:id="rId486" xr:uid="{3B3F310E-649D-466D-A2E1-51E6F151C562}"/>
    <hyperlink ref="W121" r:id="rId487" xr:uid="{4CD929AF-F4FE-4DDE-AA70-4C9914D0945D}"/>
    <hyperlink ref="U121" r:id="rId488" xr:uid="{49257C33-2C9F-4D23-9C5C-8FBD18CF14E4}"/>
    <hyperlink ref="J121" r:id="rId489" xr:uid="{957B6DEF-F478-4D40-9D16-02847B438453}"/>
    <hyperlink ref="N121" r:id="rId490" xr:uid="{4B00D11E-79BE-4586-939B-614E49A20467}"/>
    <hyperlink ref="J122" r:id="rId491" xr:uid="{4CE87920-48D3-4DC6-9370-9F5AC3292000}"/>
    <hyperlink ref="W122" r:id="rId492" xr:uid="{1D8F8F98-888E-4BC4-88A7-5BA6C1EB54BD}"/>
    <hyperlink ref="U122" r:id="rId493" xr:uid="{DA79FEAE-EFCA-419F-9151-F2D47E5FA105}"/>
    <hyperlink ref="Q123" r:id="rId494" xr:uid="{3A87A3B9-6C91-4D3B-9D55-43E17C3939EA}"/>
    <hyperlink ref="W123" r:id="rId495" xr:uid="{ADDB9BCC-7FD1-402E-BB95-8475DB373D7B}"/>
    <hyperlink ref="J123" r:id="rId496" xr:uid="{B15037DE-F0E6-4D04-8F57-166EBD13741B}"/>
    <hyperlink ref="U123" r:id="rId497" xr:uid="{B8E4ABC5-8C4F-43C3-BFDE-0B6A4CBA7F92}"/>
    <hyperlink ref="N123" r:id="rId498" display="Andre.Cacador@vesto.me" xr:uid="{560997C7-AF2E-455F-9626-40EA72255EAD}"/>
    <hyperlink ref="U118" r:id="rId499" xr:uid="{36C182C0-92F5-4AF1-A1C4-BE5EEBCB511C}"/>
    <hyperlink ref="Q124" r:id="rId500" xr:uid="{5C17FE1A-C57F-4F37-B21F-5B5E60EFDB03}"/>
    <hyperlink ref="W124" r:id="rId501" xr:uid="{1F6E0698-75A4-4FFE-80B9-E6AF4AD3EFA8}"/>
    <hyperlink ref="U124" r:id="rId502" xr:uid="{270ABCA2-C0A8-480B-9CD9-8CE45721A539}"/>
    <hyperlink ref="J124" r:id="rId503" xr:uid="{9AC3224F-913B-41D9-B87C-349615CE1109}"/>
    <hyperlink ref="Q125" r:id="rId504" xr:uid="{271E812C-9D13-4B37-8A76-52DFA1D1D136}"/>
    <hyperlink ref="U125" r:id="rId505" xr:uid="{9AA48FC6-89F2-412B-9567-98B9C15F69BA}"/>
    <hyperlink ref="J125" r:id="rId506" xr:uid="{03E18075-D830-4111-96FF-DB335915DD90}"/>
    <hyperlink ref="Q126" r:id="rId507" xr:uid="{D79D0918-B49B-43CB-9AD7-519EF925FFA5}"/>
    <hyperlink ref="W126" r:id="rId508" xr:uid="{EC42EBAB-D433-4420-910D-368E33B9400A}"/>
    <hyperlink ref="U126" r:id="rId509" xr:uid="{58CA4AE0-19C2-4476-9B28-0F2087F740A0}"/>
    <hyperlink ref="J126" r:id="rId510" xr:uid="{CC36BDFF-3D28-4211-988C-71C0CD5686BF}"/>
    <hyperlink ref="N126" r:id="rId511" xr:uid="{3B2F121B-4B06-4454-BC06-F397A4EB05DD}"/>
    <hyperlink ref="J127" r:id="rId512" xr:uid="{4888C94F-9F13-43A2-BAA2-545141B79758}"/>
    <hyperlink ref="W127" r:id="rId513" xr:uid="{FC883827-7441-4C3A-8837-01A864B7BB29}"/>
    <hyperlink ref="U127" r:id="rId514" xr:uid="{A25E3E30-7A65-4670-B099-6B756A7B390D}"/>
    <hyperlink ref="N127" r:id="rId515" xr:uid="{CC544231-52AF-4B88-8479-855A07AF67A4}"/>
    <hyperlink ref="W128" r:id="rId516" xr:uid="{F154DDAD-9098-402C-BC3A-40055A3F83A0}"/>
    <hyperlink ref="U128" r:id="rId517" xr:uid="{2BC372EC-60AC-42B5-A0A7-E1DF8A335C24}"/>
    <hyperlink ref="J128" r:id="rId518" xr:uid="{25291180-4451-4DED-96D7-71B88AE51C43}"/>
    <hyperlink ref="N129" r:id="rId519" xr:uid="{D784A199-7EA4-4B8D-BA6D-E1950DA6F192}"/>
    <hyperlink ref="W129" r:id="rId520" xr:uid="{C8670AD7-384B-488C-B8CD-B78ADB36F98F}"/>
    <hyperlink ref="U129" r:id="rId521" xr:uid="{8600F94C-EB64-4091-BA3A-58F486568209}"/>
    <hyperlink ref="J129" r:id="rId522" xr:uid="{A11F232D-5700-4231-9C79-7387EF8B5AE5}"/>
    <hyperlink ref="W130" r:id="rId523" xr:uid="{FB4ACEFF-B7D8-44B2-8478-2779E122FB70}"/>
    <hyperlink ref="U130" r:id="rId524" xr:uid="{367277F7-3B04-45F9-B857-8023FCABAC33}"/>
    <hyperlink ref="Q130" r:id="rId525" xr:uid="{9D48F4CA-0DE1-4316-B14D-4E3586E90A1E}"/>
    <hyperlink ref="N130" r:id="rId526" xr:uid="{042A13CB-9CC4-47B3-9D4C-1CFE8D07EF04}"/>
    <hyperlink ref="Q131" r:id="rId527" xr:uid="{7210819F-B856-484A-A8A2-0202EE01BB2E}"/>
    <hyperlink ref="J131" r:id="rId528" xr:uid="{60264880-9FE1-4752-B4E7-60E369A7606A}"/>
    <hyperlink ref="J130" r:id="rId529" xr:uid="{2BD567AD-CE64-4FCA-A180-1A2E21558790}"/>
    <hyperlink ref="N131" r:id="rId530" xr:uid="{792EA298-6D9F-4E5C-828E-B8163CF97115}"/>
    <hyperlink ref="W131" r:id="rId531" xr:uid="{B8299AF7-7705-4D49-BFD2-8DC5C42FFBDE}"/>
    <hyperlink ref="U131" r:id="rId532" xr:uid="{5CCE8E00-4FC4-450F-8800-40FD17F400BA}"/>
    <hyperlink ref="Q132" r:id="rId533" xr:uid="{A5CDAB54-A6A6-4B03-89AD-321C8245C86B}"/>
    <hyperlink ref="J132" r:id="rId534" xr:uid="{4C76F09B-0912-43AE-AA91-DD777BA0B0DC}"/>
    <hyperlink ref="W132" r:id="rId535" xr:uid="{76388E5B-B791-4CAB-B5A4-9E7BFD5590F5}"/>
    <hyperlink ref="U132" r:id="rId536" xr:uid="{6312DE8A-7F8F-4833-9E6C-E86B4D062A44}"/>
    <hyperlink ref="W133" r:id="rId537" xr:uid="{2504B133-8335-4AC3-8B61-E40C33E8D23D}"/>
    <hyperlink ref="U133" r:id="rId538" xr:uid="{ADD1B200-7C35-459A-B059-3B2B645397E2}"/>
    <hyperlink ref="J133" r:id="rId539" xr:uid="{AE931FC6-156F-47CD-BE91-C069A907187A}"/>
    <hyperlink ref="Q134" r:id="rId540" xr:uid="{79DF278E-23E2-4888-900A-5C9DE8D753AE}"/>
    <hyperlink ref="N134" r:id="rId541" xr:uid="{7483CAB7-AA23-4F6B-898F-08556895F77E}"/>
    <hyperlink ref="J134" r:id="rId542" xr:uid="{B3C0E7ED-CD4A-4B1D-B893-D988A7A99647}"/>
    <hyperlink ref="W134" r:id="rId543" xr:uid="{89049F39-F552-4335-BB05-E5D995A9EEC1}"/>
    <hyperlink ref="U134" r:id="rId544" xr:uid="{B8656B6E-7451-4C3B-982C-97A475052D94}"/>
    <hyperlink ref="W135" r:id="rId545" xr:uid="{D815408E-2AF1-486D-8316-4659D063D181}"/>
    <hyperlink ref="U135" r:id="rId546" xr:uid="{5FF5349F-A1C9-498B-B72B-238293F2EA2E}"/>
    <hyperlink ref="W136" r:id="rId547" xr:uid="{060118A0-02A4-48E4-8F95-7B2394084EA0}"/>
    <hyperlink ref="U136" r:id="rId548" xr:uid="{94ABB97A-818A-4F84-8D2F-F0E6CECCC5A1}"/>
    <hyperlink ref="J136" r:id="rId549" xr:uid="{1DD3467F-D0F2-4800-86E8-64E894FFB2EB}"/>
    <hyperlink ref="Q136" r:id="rId550" xr:uid="{34EDCE51-D85B-445D-A1C9-DEC6D5816AB2}"/>
    <hyperlink ref="N136" r:id="rId551" xr:uid="{9F747A9A-9C85-42E8-80C3-1A95C41A52E6}"/>
    <hyperlink ref="Q137" r:id="rId552" xr:uid="{F51458FF-E4BB-4FE2-BDE1-0F3D5907585A}"/>
    <hyperlink ref="W137" r:id="rId553" xr:uid="{3267D155-DEAD-46D0-8F26-7ABBC6CB453A}"/>
    <hyperlink ref="U137" r:id="rId554" xr:uid="{E4A2BB21-5B93-452C-9E90-1C251B4CF8F1}"/>
    <hyperlink ref="J137" r:id="rId555" xr:uid="{782DD29E-7B34-4ED7-BB2B-889BC0E978ED}"/>
    <hyperlink ref="N137" r:id="rId556" display="Alexander.Lim@cudy.co" xr:uid="{59323584-5CB5-435B-BCB3-8457A04E7287}"/>
    <hyperlink ref="Q138" r:id="rId557" xr:uid="{980C446E-CC15-408A-83BE-A26FB0613519}"/>
    <hyperlink ref="W138" r:id="rId558" xr:uid="{6ED5C8CF-FFBF-4663-BE71-160BE58CC695}"/>
    <hyperlink ref="U138" r:id="rId559" xr:uid="{B35DD6BC-C1C7-45D2-8413-3D584D3A5FA2}"/>
    <hyperlink ref="J138" r:id="rId560" xr:uid="{F69AD792-6AE1-4A85-8C24-45B163D10A14}"/>
    <hyperlink ref="N139" r:id="rId561" xr:uid="{5A528817-FE7E-4691-A77F-DC03A9814E21}"/>
    <hyperlink ref="W139" r:id="rId562" xr:uid="{4FA1D798-20E3-4076-B655-FE765DCD94BF}"/>
    <hyperlink ref="U139" r:id="rId563" xr:uid="{24B649E7-8440-4E0E-9DCF-B3E2F57F8087}"/>
    <hyperlink ref="J139" r:id="rId564" xr:uid="{DE9DCBDD-A803-4C23-8A1E-76FB92A04F32}"/>
    <hyperlink ref="Q139" r:id="rId565" xr:uid="{1F68F14F-2BEF-449C-B2B5-25A5939C335E}"/>
    <hyperlink ref="W140" r:id="rId566" xr:uid="{79BE792C-61FC-485C-91FD-9828617D1407}"/>
    <hyperlink ref="U140" r:id="rId567" xr:uid="{EA14389A-B84E-4B55-8F29-7C9BA0DC35B3}"/>
    <hyperlink ref="W141" r:id="rId568" xr:uid="{7EA8E4BD-6D19-4FFA-AF00-B1887A0349AF}"/>
    <hyperlink ref="U141" r:id="rId569" xr:uid="{6C3020C0-4C53-4896-9A7D-C72F4062FC72}"/>
    <hyperlink ref="W142" r:id="rId570" xr:uid="{7C9AD90C-513D-4CFC-A41A-F2EECD307871}"/>
    <hyperlink ref="U142" r:id="rId571" xr:uid="{7FE96FD5-1A00-43A7-8F72-907ADFA99420}"/>
    <hyperlink ref="J142" r:id="rId572" xr:uid="{AC124531-E492-4E6C-B177-7C6C9476028F}"/>
    <hyperlink ref="Q142" r:id="rId573" xr:uid="{45CFC45D-2DB8-4724-A78E-82AB285446DD}"/>
    <hyperlink ref="N142" r:id="rId574" xr:uid="{A39FE1E8-BFBB-4A30-93D6-14E6C9C8BFCD}"/>
    <hyperlink ref="Q143" r:id="rId575" xr:uid="{9D852819-1AA9-45C8-A013-4D6CABE8D4C7}"/>
    <hyperlink ref="W143" r:id="rId576" xr:uid="{556A63A1-6164-41D3-8740-A3B665F46779}"/>
    <hyperlink ref="U143" r:id="rId577" xr:uid="{0835792F-A7BE-4BAF-82B1-B2D17106B9A4}"/>
    <hyperlink ref="J143" r:id="rId578" xr:uid="{86D89258-810B-494F-A03C-9485410CA95C}"/>
    <hyperlink ref="N143" r:id="rId579" xr:uid="{E8D1F407-5CA1-46A8-A8B0-B3BD1D742665}"/>
    <hyperlink ref="W144" r:id="rId580" xr:uid="{412DAB60-EB42-4C32-9EA8-5C864CA05C4B}"/>
    <hyperlink ref="U144" r:id="rId581" xr:uid="{5716F533-7A0F-4C46-8041-9AE7378A67C2}"/>
    <hyperlink ref="J144" r:id="rId582" xr:uid="{4B74103E-C65D-488C-A906-0082D8CD1FC7}"/>
    <hyperlink ref="Q144" r:id="rId583" xr:uid="{32CE9D3F-AA41-40C3-BDFA-3AB4ACED6C21}"/>
    <hyperlink ref="W145" r:id="rId584" xr:uid="{26149C54-5592-4F81-B4EA-0A4D745C6CA5}"/>
    <hyperlink ref="U145" r:id="rId585" xr:uid="{F2ED2B2B-5DBA-497C-9060-C25BD6136EF4}"/>
    <hyperlink ref="J145" r:id="rId586" xr:uid="{C53404CF-892A-4244-B85F-16847832C2E6}"/>
    <hyperlink ref="N138" r:id="rId587" xr:uid="{1E95F2C8-D49E-400F-BF75-787EB04AFE5A}"/>
    <hyperlink ref="N135" r:id="rId588" xr:uid="{6AB6F16A-F420-418B-BF74-59C3ECBEDF79}"/>
    <hyperlink ref="R126" r:id="rId589" xr:uid="{B34C0F4F-E71B-4331-BD3B-FFFF429CE2CB}"/>
    <hyperlink ref="Q106" r:id="rId590" xr:uid="{05639EFE-C453-4049-865C-552B3BA5A547}"/>
    <hyperlink ref="N106" r:id="rId591" xr:uid="{C8A88B81-86C6-4ACA-A169-39D1C296711C}"/>
    <hyperlink ref="Q146" r:id="rId592" xr:uid="{B3FC890F-57DB-4BC4-9821-59C76ACB2E57}"/>
    <hyperlink ref="J146" r:id="rId593" xr:uid="{3E98F2AB-B5AA-4807-B11C-EA5A786C9029}"/>
    <hyperlink ref="N146" r:id="rId594" xr:uid="{4B6F2711-B272-4EF2-AABE-88474C63DBCC}"/>
    <hyperlink ref="U146" r:id="rId595" xr:uid="{8D57DE40-C3E3-4E40-807F-2C3EBFABB6B8}"/>
    <hyperlink ref="Q147" r:id="rId596" xr:uid="{4B076C8A-9F24-41DC-A173-27564DBEC4EA}"/>
    <hyperlink ref="J147" r:id="rId597" xr:uid="{06E168A7-FB64-4173-83D3-2F1B7ACD06BE}"/>
    <hyperlink ref="U147" r:id="rId598" xr:uid="{5DB4AE69-2257-4C67-B9DA-DAB26C99CC71}"/>
    <hyperlink ref="Q148" r:id="rId599" xr:uid="{EAB238EB-C0BB-449D-A3C4-AD19746A838D}"/>
    <hyperlink ref="J148" r:id="rId600" xr:uid="{BAB3E0D9-80EA-431A-B5DE-B87587746368}"/>
    <hyperlink ref="N148" r:id="rId601" display="Roland.Wee@tourego.com" xr:uid="{AD1F1207-360B-418F-B93D-8D87FFC23C26}"/>
    <hyperlink ref="U148" r:id="rId602" xr:uid="{CC661056-F83F-4490-9B36-66BCD5ED1533}"/>
    <hyperlink ref="W148" r:id="rId603" xr:uid="{A6DADBB2-BC9D-4D7B-BDC7-E510D8CF51E4}"/>
    <hyperlink ref="J149" r:id="rId604" xr:uid="{1CA011BE-230F-41BD-BAF4-29393DD06801}"/>
    <hyperlink ref="U149" r:id="rId605" xr:uid="{5C265C61-BBA8-478C-A9D4-3B752D758B3D}"/>
    <hyperlink ref="Q92" r:id="rId606" xr:uid="{B36B8953-7BFB-4C6A-A410-528B6DFDC406}"/>
    <hyperlink ref="W149" r:id="rId607" xr:uid="{DAEAF8BB-7411-4C50-9E65-2F05B4309919}"/>
    <hyperlink ref="Q149" r:id="rId608" xr:uid="{D08FD891-5B68-45F7-8F71-B08BDDC3F121}"/>
    <hyperlink ref="N149" r:id="rId609" xr:uid="{DF858761-0C92-490B-85F7-A8CABB8F5A66}"/>
    <hyperlink ref="N133" r:id="rId610" xr:uid="{ED4221B9-D011-4AE5-A393-09D82D4F2ECD}"/>
    <hyperlink ref="Q97" r:id="rId611" xr:uid="{4B61D3CE-6B8A-4CB7-9A0A-44BD693B4538}"/>
    <hyperlink ref="J150" r:id="rId612" xr:uid="{3A8A5CDE-A2D1-4BBF-8CB5-6503A7101B4E}"/>
    <hyperlink ref="N150" r:id="rId613" xr:uid="{26428E1C-88FE-4975-8FF9-BB96C62826CA}"/>
    <hyperlink ref="Q150" r:id="rId614" xr:uid="{880799FD-5FA3-43C7-AD64-47D0C67663D0}"/>
    <hyperlink ref="W150" r:id="rId615" xr:uid="{9CD92F67-8372-40AC-96DE-F286B285762A}"/>
    <hyperlink ref="U150" r:id="rId616" xr:uid="{A1213AA4-5857-4B1B-B63E-DA46AEA86F06}"/>
    <hyperlink ref="J151" r:id="rId617" xr:uid="{236D886A-4158-498F-AF10-DA7F696A3E1A}"/>
    <hyperlink ref="W151" r:id="rId618" xr:uid="{4213D58E-36B6-45C9-A8D4-F650041101E6}"/>
    <hyperlink ref="U151" r:id="rId619" xr:uid="{3B6FE1C1-90F9-4717-A2AF-F862D5DC707A}"/>
    <hyperlink ref="W152" r:id="rId620" xr:uid="{932BF076-A4CC-420A-A846-A5D9FBA94F63}"/>
    <hyperlink ref="U152" r:id="rId621" xr:uid="{3526B930-E5AC-4673-9694-6A427F4009AB}"/>
    <hyperlink ref="J152" r:id="rId622" xr:uid="{38303C13-DFD3-42AC-976B-312378200687}"/>
    <hyperlink ref="J153" r:id="rId623" xr:uid="{345F4D42-E086-469E-A515-3AAB623AC03B}"/>
    <hyperlink ref="W153" r:id="rId624" xr:uid="{19DD95CD-D7D0-4E9B-AAAC-82B0ECB63835}"/>
    <hyperlink ref="U153" r:id="rId625" xr:uid="{348A5725-7AD9-41FB-8415-22BF6AAC436A}"/>
    <hyperlink ref="N154" r:id="rId626" xr:uid="{8D35FA41-53EA-40CA-BAE6-EF89B05AF516}"/>
    <hyperlink ref="W154" r:id="rId627" xr:uid="{DB680CE5-D010-4DFB-ACBD-25929B877CC1}"/>
    <hyperlink ref="U154" r:id="rId628" xr:uid="{878A713A-64AC-461B-934E-B5E0B64E5FF9}"/>
    <hyperlink ref="Q154" r:id="rId629" xr:uid="{5FA99986-D9F1-47FF-8290-14DC82F60D17}"/>
    <hyperlink ref="J154" r:id="rId630" xr:uid="{A72DC97B-79FA-4D74-B57E-BD67A423EF88}"/>
    <hyperlink ref="J155" r:id="rId631" xr:uid="{362FDA2F-3013-4A53-8225-1C5DE4C87F76}"/>
    <hyperlink ref="W155" r:id="rId632" xr:uid="{AE9417F5-6C12-4E80-9A78-C79A1DE10F7E}"/>
    <hyperlink ref="U155" r:id="rId633" xr:uid="{33324029-5735-4EFD-AC8C-4A5BA7E05591}"/>
    <hyperlink ref="N155" r:id="rId634" xr:uid="{E210E81E-E586-4826-BBC9-692A9FBA51E5}"/>
    <hyperlink ref="Q156" r:id="rId635" xr:uid="{8A7C4059-D3D9-40B6-B9B9-98BD915FED8A}"/>
    <hyperlink ref="W156" r:id="rId636" xr:uid="{6DEA9797-3CEC-45D5-99C4-5F80AB52199B}"/>
    <hyperlink ref="U156" r:id="rId637" xr:uid="{F84492D5-DFAC-49FE-AA54-3782E22B8938}"/>
    <hyperlink ref="J156" r:id="rId638" xr:uid="{548AE174-997B-4499-A557-79A24CEC7B6C}"/>
    <hyperlink ref="N156" r:id="rId639" xr:uid="{33319FE8-62DB-468A-A95C-7788138B8F1B}"/>
    <hyperlink ref="Q157" r:id="rId640" xr:uid="{952738FD-81D9-4D00-9053-42DB7EA02A95}"/>
    <hyperlink ref="N157" r:id="rId641" display="Karam@mybump.my" xr:uid="{7DBC12D8-1073-41E5-9E5A-067AB6CE0EF3}"/>
    <hyperlink ref="J157" r:id="rId642" xr:uid="{C7F2527B-75CE-494E-A35B-1EEC42C18D8C}"/>
    <hyperlink ref="W157" r:id="rId643" xr:uid="{D5B90608-31E7-4029-B999-BD4BA45D3064}"/>
    <hyperlink ref="U157" r:id="rId644" xr:uid="{6393D812-16A4-43BF-9505-ACEAC9C5BD77}"/>
    <hyperlink ref="W158" r:id="rId645" xr:uid="{7900FD47-F0ED-4BC1-A49C-10A2D288F1FF}"/>
    <hyperlink ref="U158" r:id="rId646" xr:uid="{90EEE40E-BB66-4977-8179-26E887D50DDE}"/>
    <hyperlink ref="N158" r:id="rId647" display="drakewoon@gmail.com" xr:uid="{6BF014FB-26AA-4A29-93DF-D37E98EC8E0F}"/>
    <hyperlink ref="W159" r:id="rId648" xr:uid="{028E6B7F-473F-4B89-8218-E26BE5ADF2B1}"/>
    <hyperlink ref="U159" r:id="rId649" xr:uid="{5663FCEE-1A64-4A40-8743-3D95C2293A07}"/>
    <hyperlink ref="J159" r:id="rId650" xr:uid="{29352F34-5A18-48EF-8974-D2011CD8C114}"/>
    <hyperlink ref="N159" r:id="rId651" xr:uid="{4D081126-9F09-46DE-99A9-4B3847559B43}"/>
    <hyperlink ref="J160" r:id="rId652" xr:uid="{9D0F0F96-1F8C-4E6A-B3F1-B1E26FA0DE8C}"/>
    <hyperlink ref="N160" r:id="rId653" xr:uid="{43630BC1-EFE8-4E5C-BA9B-7928033CCB4B}"/>
    <hyperlink ref="W160" r:id="rId654" xr:uid="{CD3DB2C4-92B4-4C37-8BE7-0F266464A0D3}"/>
    <hyperlink ref="U160" r:id="rId655" xr:uid="{5C8255F9-BBBA-4DC3-A140-7889F1E7AE30}"/>
    <hyperlink ref="Q161" r:id="rId656" xr:uid="{8EDB5820-8513-4E30-96DE-5D0DB9E73577}"/>
    <hyperlink ref="J161" r:id="rId657" xr:uid="{742C0816-C11C-4A00-9263-89B41D34A537}"/>
    <hyperlink ref="N161" r:id="rId658" xr:uid="{A6AC8F8F-C160-42A5-A716-31E168A8C7D4}"/>
    <hyperlink ref="R161" r:id="rId659" xr:uid="{35762E74-3E20-4071-A332-DE7377B17800}"/>
    <hyperlink ref="W161" r:id="rId660" xr:uid="{43DF3316-A1E2-47AD-B1C2-832FC2E72C96}"/>
    <hyperlink ref="U161" r:id="rId661" xr:uid="{3F068879-B380-4CB0-93C9-E4E73A4B5D09}"/>
    <hyperlink ref="N151" r:id="rId662" xr:uid="{7DF1883F-46A2-4092-A128-A7A8C0155F2C}"/>
    <hyperlink ref="J162" r:id="rId663" xr:uid="{462CC92F-7DFC-4D7D-A90C-1D53D809BA29}"/>
    <hyperlink ref="N162" r:id="rId664" xr:uid="{C38F75D3-7D5E-4F8D-8731-6DB408187547}"/>
    <hyperlink ref="W162" r:id="rId665" xr:uid="{77094009-45DD-4764-BC32-9E1151F9C854}"/>
    <hyperlink ref="U162" r:id="rId666" xr:uid="{CE311744-42D4-415F-8D50-DFC9FA861BBF}"/>
    <hyperlink ref="J163" r:id="rId667" xr:uid="{2F5BF889-67D4-4AAE-96D1-3CC77811B843}"/>
    <hyperlink ref="Q163" r:id="rId668" xr:uid="{38A64E1A-8CD1-40DC-959D-D46101733669}"/>
    <hyperlink ref="N163" r:id="rId669" xr:uid="{53D8D4E7-C7E4-4188-AF2E-BA31D2300D4D}"/>
    <hyperlink ref="W163" r:id="rId670" xr:uid="{1910D831-4D9E-4D1D-B96C-55212720B6AE}"/>
    <hyperlink ref="U163" r:id="rId671" xr:uid="{81EC1386-4C4D-4D95-B828-3AF956D0D5F2}"/>
    <hyperlink ref="J164" r:id="rId672" xr:uid="{9C067FE0-3B10-449C-8EE6-871E9D99F5B7}"/>
    <hyperlink ref="W164" r:id="rId673" xr:uid="{CB7EECCB-468A-4454-83D1-E4B98B76D4EC}"/>
    <hyperlink ref="U164" r:id="rId674" xr:uid="{9112AFD4-6EAE-4C9E-A82B-FA0A97167809}"/>
    <hyperlink ref="N165" r:id="rId675" xr:uid="{A0AB229D-CF65-4838-BC20-C50E6CC2AE6A}"/>
    <hyperlink ref="J165" r:id="rId676" xr:uid="{B73EFDCA-AF46-42A9-9552-F583D851D281}"/>
    <hyperlink ref="W165" r:id="rId677" xr:uid="{51CB1C6E-8F67-4989-85C3-4CB4AAC07F46}"/>
    <hyperlink ref="U165" r:id="rId678" xr:uid="{148116E3-B113-4DAA-A237-374C12D69A72}"/>
    <hyperlink ref="W166" r:id="rId679" xr:uid="{1F016F48-C5B5-4851-936D-0A896933E297}"/>
    <hyperlink ref="U166" r:id="rId680" xr:uid="{89C892D0-8A6A-4332-AD80-575811A67F1B}"/>
    <hyperlink ref="Q167" r:id="rId681" xr:uid="{59599817-7DEF-4CC9-8676-E54C6CF8FA64}"/>
    <hyperlink ref="N167" r:id="rId682" xr:uid="{C1203C18-77A7-4323-9C1C-E79D5D775D99}"/>
    <hyperlink ref="J167" r:id="rId683" xr:uid="{66BACB4F-3145-43F9-982D-7611AC2816CA}"/>
    <hyperlink ref="W167" r:id="rId684" xr:uid="{044022AD-0A22-4758-BD31-E2D85FE9FEE3}"/>
    <hyperlink ref="U167" r:id="rId685" xr:uid="{6A51097D-392F-4044-A677-EB3CAE49BBD7}"/>
    <hyperlink ref="Q168" r:id="rId686" xr:uid="{AA031FD3-9552-4E0E-9A95-E7599D239E8E}"/>
    <hyperlink ref="J168" r:id="rId687" xr:uid="{DE782FBC-6C7A-44C9-8917-3C399521DEB2}"/>
    <hyperlink ref="W168" r:id="rId688" xr:uid="{8719D5B2-A95C-40EB-A600-C2D0B9F35740}"/>
    <hyperlink ref="U168" r:id="rId689" xr:uid="{B5E91DF8-AC44-4914-854F-7ABBB9A3C97D}"/>
    <hyperlink ref="N168" r:id="rId690" xr:uid="{A95FD2F8-46AD-47ED-A2DD-B984BE54C49F}"/>
    <hyperlink ref="R168" r:id="rId691" xr:uid="{E83C53CC-E23C-4C4C-BA04-5CD1A3C0F535}"/>
    <hyperlink ref="Q169" r:id="rId692" xr:uid="{6A70DA3A-A221-46DA-88DA-16BA953894D8}"/>
    <hyperlink ref="J169" r:id="rId693" xr:uid="{112536DA-C388-4593-A430-29F42FAFCB60}"/>
    <hyperlink ref="W169" r:id="rId694" xr:uid="{0BEEF6F1-1711-4B6B-AA65-04316E91377E}"/>
    <hyperlink ref="U169" r:id="rId695" xr:uid="{26530AE7-3F1B-4878-A960-5345E5B2AC3D}"/>
    <hyperlink ref="N169" r:id="rId696" display="Francesco.Zuccaccia@weedea.com" xr:uid="{342B00D7-48CB-4E5A-9859-E82D5AB05972}"/>
    <hyperlink ref="N170" r:id="rId697" xr:uid="{84BD4909-66CD-40FB-948F-B1B69EDA3BAD}"/>
    <hyperlink ref="J170" r:id="rId698" xr:uid="{E80FFA45-513A-4BAE-AAF7-F29315EEEC0E}"/>
    <hyperlink ref="W170" r:id="rId699" xr:uid="{589815C4-2B89-4D23-A99C-40DD872E437D}"/>
    <hyperlink ref="U170" r:id="rId700" xr:uid="{E2EEAEFA-F80E-4B1E-945B-BAD315303BCE}"/>
    <hyperlink ref="Q170" r:id="rId701" xr:uid="{05A4FA40-4F27-4B16-8A72-741C9586D5E1}"/>
    <hyperlink ref="Q171" r:id="rId702" xr:uid="{A83DCEF1-AD1F-4CDE-989F-66C57B164B7B}"/>
    <hyperlink ref="N171" r:id="rId703" xr:uid="{6D7DDAE5-726C-46AD-A1F0-FCDA6DCE3617}"/>
    <hyperlink ref="W171" r:id="rId704" xr:uid="{67436830-C82D-4755-84D7-6F20F6B102B8}"/>
    <hyperlink ref="U171" r:id="rId705" xr:uid="{927DD045-CD17-4CEB-ABD3-DF02D93BE0BB}"/>
    <hyperlink ref="J171" r:id="rId706" xr:uid="{327A9F15-9F5A-4710-B48A-C83C44133088}"/>
    <hyperlink ref="W172" r:id="rId707" xr:uid="{298FFAD6-BCA4-43E7-8370-68AE61FB765D}"/>
    <hyperlink ref="U172" r:id="rId708" xr:uid="{84A21FC5-6C57-435A-BBAE-7F86DB59993F}"/>
    <hyperlink ref="Q172" r:id="rId709" xr:uid="{5EC4309E-65FC-484E-80AB-3776222262F5}"/>
    <hyperlink ref="J172" r:id="rId710" xr:uid="{EF4338B3-EC0E-4DD7-9A33-D3759CB5F2C0}"/>
    <hyperlink ref="W173" r:id="rId711" xr:uid="{E2FD43D7-3F40-413D-9420-57D90CE8EA2E}"/>
    <hyperlink ref="U173" r:id="rId712" xr:uid="{D9A03942-34FB-41C0-9556-867EDAF92087}"/>
    <hyperlink ref="N174" r:id="rId713" xr:uid="{2FB5A0F8-1AD2-4172-BEBE-61B873449EF9}"/>
    <hyperlink ref="W174" r:id="rId714" xr:uid="{9B4C2BB0-AD0B-4116-AA1E-61D61D340D17}"/>
    <hyperlink ref="U174" r:id="rId715" xr:uid="{88B9E6BE-D79A-4FCF-AC81-26CEF5EEF536}"/>
    <hyperlink ref="J174" r:id="rId716" xr:uid="{D9D934C0-86ED-4972-BBCA-86D9D1AFC3ED}"/>
    <hyperlink ref="Q174" r:id="rId717" xr:uid="{1EED37C7-50B1-4CF4-8C12-00E11EAF048D}"/>
    <hyperlink ref="Q175" r:id="rId718" xr:uid="{670DF8FF-D4F3-4263-88B7-33956AB1729D}"/>
    <hyperlink ref="N175" r:id="rId719" xr:uid="{A6C7A30D-6E12-4E6C-8674-54BA7D1B651D}"/>
    <hyperlink ref="J175" r:id="rId720" xr:uid="{0E8A82E9-90F0-47D9-86E7-2F6C17F8B8FE}"/>
    <hyperlink ref="W175" r:id="rId721" xr:uid="{924F067B-B46F-4F10-B6D9-E9E0B5AC4566}"/>
    <hyperlink ref="U175" r:id="rId722" xr:uid="{BCC54FF9-39E8-4DFD-AA5D-2C8577D07F7C}"/>
    <hyperlink ref="W176" r:id="rId723" xr:uid="{3254649B-9DAC-4265-96A2-32E4BE7F0DC1}"/>
    <hyperlink ref="U176" r:id="rId724" xr:uid="{43B38095-43CD-46C5-B692-CE8CAD336100}"/>
    <hyperlink ref="N177" r:id="rId725" xr:uid="{6B535965-66D0-413E-8E64-B4231B216241}"/>
    <hyperlink ref="J177" r:id="rId726" xr:uid="{3E168CF9-337B-4430-8DB7-47FE0CDF818C}"/>
    <hyperlink ref="W177" r:id="rId727" xr:uid="{BCE67C24-F524-46C5-9977-94D1453DFF5B}"/>
    <hyperlink ref="U177" r:id="rId728" xr:uid="{5FA4A9AE-A5DA-47D7-91D6-D731AB181843}"/>
    <hyperlink ref="J178" r:id="rId729" xr:uid="{BCDFBA95-1875-4F8B-9AC3-7F5A1CDBD0C6}"/>
    <hyperlink ref="N178" r:id="rId730" xr:uid="{B236D9B8-298E-4D8D-A56A-CCB537BBF6BD}"/>
    <hyperlink ref="W178" r:id="rId731" xr:uid="{61AF00B0-2A45-4FF7-9048-EFC3A2181B3F}"/>
    <hyperlink ref="U178" r:id="rId732" xr:uid="{CA753269-6483-4A2A-879C-33CACAF780C0}"/>
    <hyperlink ref="J179" r:id="rId733" xr:uid="{4C93DD68-A542-41BE-86FD-B5E1F4AF948E}"/>
    <hyperlink ref="N179" r:id="rId734" xr:uid="{A6033CAA-7C14-42EC-9EB0-6BC3328EE542}"/>
    <hyperlink ref="W179" r:id="rId735" xr:uid="{3034C325-57EC-43FA-AE43-61129FD25788}"/>
    <hyperlink ref="U179" r:id="rId736" xr:uid="{C8B2DAA3-6EC3-4762-8A74-4BE7E7793F61}"/>
    <hyperlink ref="R169" r:id="rId737" xr:uid="{B2E5FF40-9090-41E9-9621-44394DA2CEF6}"/>
    <hyperlink ref="N180" r:id="rId738" xr:uid="{EFE832E2-16F3-4D39-921E-0D407FC6AF4F}"/>
    <hyperlink ref="W180" r:id="rId739" xr:uid="{377C2312-84A6-4E23-A2FD-06B43CA73EBB}"/>
    <hyperlink ref="U180" r:id="rId740" xr:uid="{C1545CBF-1C74-4439-97E1-969C3FA6BB12}"/>
    <hyperlink ref="J180" r:id="rId741" xr:uid="{D1119F44-7DC2-4B96-B4EE-E6A77AADA0A3}"/>
    <hyperlink ref="Q180" r:id="rId742" xr:uid="{5DFC8675-3753-4FFE-B908-82A7AD6CEB14}"/>
    <hyperlink ref="Q181" r:id="rId743" xr:uid="{03A96FAC-9318-4BCC-995F-1D3B49C1FA9F}"/>
    <hyperlink ref="U181" r:id="rId744" xr:uid="{AE2D0171-9BFA-48B4-9117-BF88DE5A30AE}"/>
    <hyperlink ref="N181" r:id="rId745" xr:uid="{4841A290-CDAB-4C5B-BB7D-15643E6EEA6D}"/>
    <hyperlink ref="J181" r:id="rId746" xr:uid="{A1BF1130-BB18-4240-A487-0148E3220982}"/>
    <hyperlink ref="Q182" r:id="rId747" display="sales@synchroweb.com" xr:uid="{924A9B83-C919-454A-AD35-24E95F3FDE0F}"/>
    <hyperlink ref="N182" r:id="rId748" xr:uid="{C4F12DF8-CEAE-4259-8311-F5014FD613F3}"/>
    <hyperlink ref="J182" r:id="rId749" xr:uid="{3B3F386B-899F-4F0A-9A04-699303372FD2}"/>
    <hyperlink ref="W182" r:id="rId750" xr:uid="{0B1BEBB5-488F-4D32-B859-1BA60D69DE4B}"/>
    <hyperlink ref="U182" r:id="rId751" xr:uid="{DB51FA30-2A1A-43E0-8470-EA3FEF7B0D26}"/>
    <hyperlink ref="J183" r:id="rId752" xr:uid="{06ADDF2C-6B1F-4F7A-996C-A82AC606AA07}"/>
    <hyperlink ref="N183" r:id="rId753" xr:uid="{A38CD395-DF76-4159-B1E9-009E9307A897}"/>
    <hyperlink ref="W183" r:id="rId754" xr:uid="{A62FFDC7-59FB-4B81-9803-007333241599}"/>
    <hyperlink ref="U183" r:id="rId755" xr:uid="{AE5B5323-DC59-4A66-9B89-1C2DB7DF4749}"/>
    <hyperlink ref="Q184" r:id="rId756" xr:uid="{267C6924-E4C0-4FFC-AB75-274701DA34C2}"/>
    <hyperlink ref="J184" r:id="rId757" xr:uid="{0F3048FA-34BD-4DCB-83AF-8EBBCE0A80F7}"/>
    <hyperlink ref="N184" r:id="rId758" xr:uid="{AF9B9C4A-4EBB-4D57-B781-2CA39ED80BE2}"/>
    <hyperlink ref="W184" r:id="rId759" xr:uid="{CBCE4710-1718-4F64-A64D-0CA65F7DC866}"/>
    <hyperlink ref="U184" r:id="rId760" xr:uid="{6D61DBD1-CDD9-4112-A3E1-7D85BB094355}"/>
    <hyperlink ref="J185" r:id="rId761" xr:uid="{4B69AED3-7137-4478-A6F0-100AD23BBA4A}"/>
    <hyperlink ref="N185" r:id="rId762" xr:uid="{68E7074E-E4AB-46B2-B12C-216F3E206925}"/>
    <hyperlink ref="W185" r:id="rId763" xr:uid="{06B1E858-B741-46B1-A0EA-A02C2CB24998}"/>
    <hyperlink ref="U185" r:id="rId764" xr:uid="{6942B255-27E8-43B5-8BD9-E0A63A3C504F}"/>
    <hyperlink ref="N186" r:id="rId765" xr:uid="{66D8B7EA-07F0-4800-9BDE-B7A02DCDCE5B}"/>
    <hyperlink ref="J186" r:id="rId766" xr:uid="{02CF3041-C624-4BB7-9087-AE6027387A53}"/>
    <hyperlink ref="W186" r:id="rId767" xr:uid="{C77B1905-5937-42E2-AE36-168C56A378D2}"/>
    <hyperlink ref="U186" r:id="rId768" xr:uid="{869F20CE-A7CD-4C95-8868-3340DF202C4A}"/>
    <hyperlink ref="N187" r:id="rId769" xr:uid="{67BAAD14-87E6-413B-B85F-9E3D2379EE3C}"/>
    <hyperlink ref="J187" r:id="rId770" xr:uid="{90D5F71B-B1E3-4A03-8A35-3BC609E0C7B5}"/>
    <hyperlink ref="W187" r:id="rId771" xr:uid="{A469CCAD-9DA1-40C3-8281-4CB3611EBAF4}"/>
    <hyperlink ref="U187" r:id="rId772" xr:uid="{E35C9575-CF9F-4A18-BAF3-AC96A2E2608C}"/>
    <hyperlink ref="Q188" r:id="rId773" xr:uid="{82D074DF-A61A-4170-BA8C-65BDCFA1B912}"/>
    <hyperlink ref="J188" r:id="rId774" xr:uid="{FE1B041C-67B5-47F5-BB71-9CF761ABD35F}"/>
    <hyperlink ref="Q189" r:id="rId775" xr:uid="{41F43DD2-F559-42C7-88C0-D3059D711DFD}"/>
    <hyperlink ref="U189" r:id="rId776" xr:uid="{F020A6DD-6851-4500-8C60-E8392D3131AD}"/>
    <hyperlink ref="W188" r:id="rId777" xr:uid="{E4F2507B-C965-40C4-9C9F-CC2C78F57391}"/>
    <hyperlink ref="U188" r:id="rId778" xr:uid="{77BB60F9-D906-4FC0-AA81-E45BF133AA62}"/>
    <hyperlink ref="J189" r:id="rId779" xr:uid="{0D9665B0-0801-46CD-9210-3EDFDBEDC21F}"/>
    <hyperlink ref="N190" r:id="rId780" xr:uid="{BAAE1C77-64F9-43AD-AC9A-1C9B281E5FA4}"/>
    <hyperlink ref="J190" r:id="rId781" xr:uid="{232A0F79-4AC1-4D6E-B339-9D8A90280F59}"/>
    <hyperlink ref="W190" r:id="rId782" xr:uid="{0ECC386C-F98B-43CD-9750-792BC48B3006}"/>
    <hyperlink ref="U190" r:id="rId783" xr:uid="{29858C06-DD39-414C-9750-465565108AB0}"/>
    <hyperlink ref="W191" r:id="rId784" xr:uid="{7E1E4E24-AAEB-4F67-A73C-3FCC26539CB7}"/>
    <hyperlink ref="U191" r:id="rId785" xr:uid="{66CF2BE9-1050-4C6C-97B0-136405D3288E}"/>
    <hyperlink ref="J191" r:id="rId786" xr:uid="{F9CC2479-5AC0-48A7-A9EC-44BB9EBD9B5D}"/>
    <hyperlink ref="Q191" r:id="rId787" xr:uid="{9425F3AB-7883-4205-A3D6-7A3321600C4F}"/>
    <hyperlink ref="J192" r:id="rId788" xr:uid="{8E693DA2-AAF0-4994-AFFE-503DA82CF906}"/>
    <hyperlink ref="N192" r:id="rId789" xr:uid="{385B0D7B-08B5-4EB1-A848-7904D74B29F8}"/>
    <hyperlink ref="W192" r:id="rId790" xr:uid="{1B66C70A-8941-4B2F-8641-77AA3C967592}"/>
    <hyperlink ref="U192" r:id="rId791" xr:uid="{D1D12377-4F25-47F7-A7F8-59283D1A5A1E}"/>
    <hyperlink ref="Q192" r:id="rId792" xr:uid="{E72B8793-2D73-425A-AA03-28A6B10209C5}"/>
    <hyperlink ref="Q193" r:id="rId793" xr:uid="{51CB6551-0625-4468-8092-B99FA476F143}"/>
    <hyperlink ref="J193" r:id="rId794" xr:uid="{6EE5A6F0-BFD5-4251-9160-B776BCF1CEC9}"/>
    <hyperlink ref="W193" r:id="rId795" xr:uid="{D0A86BB1-B719-45EC-AAB5-5BC34F93544E}"/>
    <hyperlink ref="U193" r:id="rId796" xr:uid="{827926D3-CB86-429B-A6A1-588CCE1FBFD9}"/>
    <hyperlink ref="N193" r:id="rId797" xr:uid="{832C783C-40D7-4557-A568-BE61BD809F6E}"/>
    <hyperlink ref="N194" r:id="rId798" xr:uid="{3808BAE2-AFDC-4CB5-8729-344102DB8A66}"/>
    <hyperlink ref="J194" r:id="rId799" xr:uid="{ABC02133-66E0-40A3-BD71-B3F32A37BE63}"/>
    <hyperlink ref="Q194" r:id="rId800" xr:uid="{5A9933EB-D6A1-4EC3-BD93-C84E64DCF245}"/>
    <hyperlink ref="W194" r:id="rId801" xr:uid="{90B52A00-3681-41AE-8491-AD2EC0C86DBC}"/>
    <hyperlink ref="U194" r:id="rId802" xr:uid="{1E1E0A7B-B33A-44BC-82D8-A54C4D662AFD}"/>
    <hyperlink ref="Q195" r:id="rId803" xr:uid="{AF062688-AF04-43D3-B393-7E8A40603297}"/>
    <hyperlink ref="U195" r:id="rId804" xr:uid="{0C910983-E4A9-428C-9661-3C2C32DB2FBC}"/>
    <hyperlink ref="W195" r:id="rId805" xr:uid="{9BC92D18-D15F-4129-9B44-D5668BD87BD0}"/>
    <hyperlink ref="J195" r:id="rId806" xr:uid="{A7B7B11C-6EF4-4EED-8C19-BC4D75408E85}"/>
    <hyperlink ref="N195" r:id="rId807" display="Shama@jetzyapp.com / " xr:uid="{0CDE8766-DD6A-4DAB-8AF9-E9F18A61EE1F}"/>
    <hyperlink ref="Q196" r:id="rId808" xr:uid="{8D17F8D4-15DF-4048-8DEC-90624910A54B}"/>
    <hyperlink ref="J196" r:id="rId809" xr:uid="{19850F64-D3F1-40B5-BCBC-3AB4F3724E64}"/>
    <hyperlink ref="N196" r:id="rId810" xr:uid="{D87111EC-612A-464F-BFDF-A95CE4CB7010}"/>
    <hyperlink ref="W196" r:id="rId811" xr:uid="{55E3FCD4-8944-4A04-9484-18A55915FB51}"/>
    <hyperlink ref="U196" r:id="rId812" xr:uid="{76A9F729-C1F9-4BA0-A9AA-E543119D21E9}"/>
    <hyperlink ref="N197" r:id="rId813" xr:uid="{FED40DF8-4C4C-4D37-BBD0-25FE91074AE8}"/>
    <hyperlink ref="U197" r:id="rId814" xr:uid="{D2793954-B5A5-4FAE-8687-4F0A3964F403}"/>
    <hyperlink ref="W197" r:id="rId815" xr:uid="{D151C6D6-2DEE-4E06-B375-4BACEF173845}"/>
    <hyperlink ref="Q197" r:id="rId816" xr:uid="{E7680748-5567-4CB4-B97A-86BF3FB18991}"/>
    <hyperlink ref="J197" r:id="rId817" xr:uid="{DAFA4B98-A0FC-4610-AD53-8623220AE5A7}"/>
    <hyperlink ref="N198" r:id="rId818" xr:uid="{84B11175-17EF-4E91-BCA2-20C4DC54803F}"/>
    <hyperlink ref="W198" r:id="rId819" xr:uid="{3BB3C877-F0D9-418C-BD0B-AB0DF895BD1E}"/>
    <hyperlink ref="U198" r:id="rId820" xr:uid="{7497CECC-DBDE-430D-808C-2F53C7ECEB42}"/>
    <hyperlink ref="J198" r:id="rId821" xr:uid="{DC9A426E-4EE7-4D6B-9DAD-8F3C28B3B60F}"/>
    <hyperlink ref="Q198" r:id="rId822" xr:uid="{D2749834-6987-45C3-8CCB-6C4BE3E385E7}"/>
    <hyperlink ref="W199" r:id="rId823" xr:uid="{4C17A3E2-25EC-460B-8283-CE9E84BDEA1F}"/>
    <hyperlink ref="U199" r:id="rId824" xr:uid="{4562BFF2-0DF3-4D23-8ADA-034EF8C432C8}"/>
    <hyperlink ref="N200" r:id="rId825" xr:uid="{2284FDC5-CACC-467C-AB47-9BEF033AF802}"/>
    <hyperlink ref="W200" r:id="rId826" xr:uid="{ECBEB382-ED3E-4C75-B91F-45D7FCD1B1E5}"/>
    <hyperlink ref="U200" r:id="rId827" xr:uid="{277DDBB5-CB26-42C5-BA71-BDEDC15D804F}"/>
    <hyperlink ref="J200" r:id="rId828" xr:uid="{18D84A39-463B-4B0E-BA6F-5F24DFDD7391}"/>
    <hyperlink ref="Q201" r:id="rId829" xr:uid="{085539C1-2B2D-4DA4-8D27-2639DEB80545}"/>
    <hyperlink ref="J201" r:id="rId830" xr:uid="{67656467-81D4-4410-9E0F-FDA4CB43AB28}"/>
    <hyperlink ref="W201" r:id="rId831" xr:uid="{A1CBBD46-F5F7-4C58-8ED8-FEE1A2110C67}"/>
    <hyperlink ref="U201" r:id="rId832" xr:uid="{72CF525B-E6EC-4872-9FBA-CEA9712EA93C}"/>
    <hyperlink ref="Q202" r:id="rId833" xr:uid="{39427198-C547-4EDE-9268-872A1A72557F}"/>
    <hyperlink ref="W202" r:id="rId834" xr:uid="{AE6AF0B3-A0BE-434C-AB90-ED1C8C0A4458}"/>
    <hyperlink ref="U202" r:id="rId835" xr:uid="{6EFD987E-599C-49C0-B4BD-DF358F80DD3A}"/>
    <hyperlink ref="J202" r:id="rId836" xr:uid="{B5D9951C-A4AE-46E7-9C10-9A2988E5B50A}"/>
    <hyperlink ref="N202" r:id="rId837" xr:uid="{2B6B1659-5BB5-41A0-BB0C-C834848A912D}"/>
    <hyperlink ref="N203" r:id="rId838" xr:uid="{B9652F43-2460-437B-BBAC-7B7162C98E65}"/>
    <hyperlink ref="R203" r:id="rId839" xr:uid="{6108A40F-C0BD-4315-9641-F68CAE873FD2}"/>
    <hyperlink ref="U203" r:id="rId840" xr:uid="{010B6507-40FC-4829-890C-02D45EC169EF}"/>
    <hyperlink ref="W203" r:id="rId841" xr:uid="{D688234E-C33D-418F-A95E-1A7BDCC9B7B6}"/>
    <hyperlink ref="J203" r:id="rId842" xr:uid="{46651AAC-97CA-4CB3-B702-E680B2677013}"/>
    <hyperlink ref="W204" r:id="rId843" xr:uid="{46B4D295-7353-4ABF-A0A7-FAC083D19B79}"/>
    <hyperlink ref="U204" r:id="rId844" xr:uid="{ED9FC73E-08C5-4ED7-BFE7-8B68C841C14F}"/>
    <hyperlink ref="J204" r:id="rId845" xr:uid="{AD987E0B-B158-42AA-8347-366AA9792F44}"/>
    <hyperlink ref="Q204" r:id="rId846" xr:uid="{F860B46A-C292-412B-AC0D-88AA02974B59}"/>
    <hyperlink ref="N199" r:id="rId847" xr:uid="{0E64EC2C-9B25-4E48-82E7-AFF3A62AECEF}"/>
    <hyperlink ref="N205" r:id="rId848" xr:uid="{7177420A-D8F4-4BAC-93BD-E98D441872B4}"/>
    <hyperlink ref="J205" r:id="rId849" xr:uid="{04788855-33FA-473F-BB68-7399EB54F061}"/>
    <hyperlink ref="W205" r:id="rId850" xr:uid="{760D8652-F9B9-4EC6-83DF-6D9A4DECC819}"/>
    <hyperlink ref="U205" r:id="rId851" xr:uid="{0FD5C33D-6CAE-45C7-BC85-3840679F2884}"/>
    <hyperlink ref="Q206" r:id="rId852" xr:uid="{0A177FDF-8D4D-4BD3-8059-FE34493B55F2}"/>
    <hyperlink ref="J206" r:id="rId853" xr:uid="{1B289244-B996-411E-AB64-1BA8FE66CB55}"/>
    <hyperlink ref="W206" r:id="rId854" xr:uid="{6DD8B8DE-EC31-40F5-B0D4-E212B4B85F3F}"/>
    <hyperlink ref="U206" r:id="rId855" xr:uid="{0092E451-CCDC-4847-97CD-0DF1D82924F4}"/>
    <hyperlink ref="W207" r:id="rId856" xr:uid="{3673749C-A63B-4823-9C95-37552CB55A97}"/>
    <hyperlink ref="U207" r:id="rId857" xr:uid="{C21B8A7C-7FE3-4DB6-AC7C-0AD72C22CD50}"/>
    <hyperlink ref="J207" r:id="rId858" xr:uid="{DE5BAF12-4AF7-4A49-A62F-59B044193741}"/>
    <hyperlink ref="J208" r:id="rId859" xr:uid="{162E9426-F25C-4B4A-92D3-50EEBB3EE492}"/>
    <hyperlink ref="W208" r:id="rId860" xr:uid="{937C90E9-7ACF-4A32-925E-82F8A9EE963F}"/>
    <hyperlink ref="U208" r:id="rId861" xr:uid="{712012B0-7F0B-4B52-A5A7-DA1C7563EBC8}"/>
    <hyperlink ref="W209" r:id="rId862" xr:uid="{35BEF9F6-6619-4C6D-BC3A-C212C769EE4D}"/>
    <hyperlink ref="U209" r:id="rId863" xr:uid="{E586FAC6-2CE3-4725-A4CB-25FE950AE879}"/>
    <hyperlink ref="N210" r:id="rId864" xr:uid="{9D47C32E-1EF2-43B4-9070-CDAB87191E6A}"/>
    <hyperlink ref="W210" r:id="rId865" xr:uid="{EB5C65C4-168B-4392-8E9B-4A9A795262DF}"/>
    <hyperlink ref="U210" r:id="rId866" xr:uid="{039A417B-CA02-4A31-8ED6-8098862A88F0}"/>
    <hyperlink ref="J210" r:id="rId867" xr:uid="{9A37544E-4AB6-4ED4-BFBB-896C99C26231}"/>
    <hyperlink ref="N211" r:id="rId868" xr:uid="{11C0ECE1-4FDA-4976-9929-AD0AE59238A5}"/>
    <hyperlink ref="J211" r:id="rId869" xr:uid="{A36619BC-9C5D-4BEE-8DDF-16E61FF03E1E}"/>
    <hyperlink ref="W211" r:id="rId870" xr:uid="{4CDB3495-BE1A-4DCB-8C4F-08725013F984}"/>
    <hyperlink ref="U211" r:id="rId871" xr:uid="{09674996-FAB0-4A7A-AEC9-72DC426BF565}"/>
    <hyperlink ref="Q212" r:id="rId872" xr:uid="{C75D142E-DFD6-4FF9-B583-7F80AB414999}"/>
    <hyperlink ref="N212" r:id="rId873" xr:uid="{C25868B2-CA9D-4875-9943-D495CFC80652}"/>
    <hyperlink ref="W212" r:id="rId874" xr:uid="{94B7A112-38E9-4C04-922F-26A8DFB358D2}"/>
    <hyperlink ref="U212" r:id="rId875" xr:uid="{EA83EF97-5163-453B-AD03-B94E7B3FB6A0}"/>
    <hyperlink ref="J212" r:id="rId876" xr:uid="{C88B717B-9791-48DA-AAB5-8B47EB0FCB8E}"/>
    <hyperlink ref="J213" r:id="rId877" xr:uid="{BF3169F6-D0AC-4155-9D03-E71C68B5F5C5}"/>
    <hyperlink ref="N213" r:id="rId878" display="Timo.Marks@onefid.com" xr:uid="{4A4028D6-98B5-4B06-84A8-73749CE0E911}"/>
    <hyperlink ref="W213" r:id="rId879" xr:uid="{E2A9AA2B-ECAA-4DB1-8E17-9607F773616A}"/>
    <hyperlink ref="U213" r:id="rId880" xr:uid="{7E172DC2-79CB-4DB2-93DE-1B69D91DE807}"/>
    <hyperlink ref="N214" r:id="rId881" display="Cristiano.Viegas@koobby.com" xr:uid="{E9878D76-942E-4521-A323-49958C0F8F59}"/>
    <hyperlink ref="W214" r:id="rId882" xr:uid="{DF053331-60F3-4747-AEC6-5581FFD48ECB}"/>
    <hyperlink ref="U214" r:id="rId883" xr:uid="{42B7AC33-72AE-4F91-89B1-70447BC9BA55}"/>
    <hyperlink ref="J214" r:id="rId884" xr:uid="{DA3674BE-2563-4722-BCB8-EAEF17DC77F5}"/>
    <hyperlink ref="N215" r:id="rId885" xr:uid="{A0267F8C-CC28-4E1F-B6E4-F4C98ABEDA27}"/>
    <hyperlink ref="J215" r:id="rId886" xr:uid="{899E25D6-FAD8-42EC-911A-D9BD0E6DD72D}"/>
    <hyperlink ref="W215" r:id="rId887" xr:uid="{D528EF9A-EDE6-4B76-8548-0051B160FF8C}"/>
    <hyperlink ref="U215" r:id="rId888" xr:uid="{32149FB0-DDD8-4DDA-B2EB-A04F2767C23D}"/>
    <hyperlink ref="J216" r:id="rId889" xr:uid="{8EC038A9-2602-4762-B5FF-AE62C40AF7DD}"/>
    <hyperlink ref="Q216" r:id="rId890" xr:uid="{2789D8A8-86CE-412D-876F-0B29888599D1}"/>
    <hyperlink ref="W216" r:id="rId891" xr:uid="{8C28DDCD-536C-43F8-918C-EB5E23C885F4}"/>
    <hyperlink ref="U216" r:id="rId892" xr:uid="{0242FDC9-8096-4B0C-8B0E-B78D67652D42}"/>
    <hyperlink ref="N216" r:id="rId893" display="Stefano@gilytics.com" xr:uid="{E6DE6BCC-B126-4836-B527-5473EC2366DD}"/>
    <hyperlink ref="W217" r:id="rId894" xr:uid="{ABB05872-EF27-468A-8EBF-5E1FEABA13C8}"/>
    <hyperlink ref="U217" r:id="rId895" xr:uid="{E803DB71-B70E-45AA-84B8-4CEFB5B98FE9}"/>
    <hyperlink ref="J217" r:id="rId896" xr:uid="{5448421D-5E00-442C-A938-0147AB30FC3D}"/>
    <hyperlink ref="N218" r:id="rId897" xr:uid="{5F3EDCA9-0223-4147-A5DD-937451DFF22E}"/>
    <hyperlink ref="W218" r:id="rId898" xr:uid="{F8B7DCE7-147B-4696-9D38-160914F39129}"/>
    <hyperlink ref="U218" r:id="rId899" xr:uid="{04E69191-0A7D-4157-8C2C-FA34D5B395CB}"/>
    <hyperlink ref="J218" r:id="rId900" xr:uid="{3A2088F8-153D-44E8-A404-C63456C0EFA6}"/>
    <hyperlink ref="Q219" r:id="rId901" xr:uid="{15D97316-C40C-4EAB-B054-948CBFE3CFBF}"/>
    <hyperlink ref="J219" r:id="rId902" xr:uid="{A4EBD50C-1AED-48E9-AC7B-0031F5BB87D6}"/>
    <hyperlink ref="N219" r:id="rId903" xr:uid="{D3DAB926-A8A2-4569-92D9-67DF55387970}"/>
    <hyperlink ref="W219" r:id="rId904" xr:uid="{CD0663EF-4CFB-4147-A1C3-2E175854CEB3}"/>
    <hyperlink ref="U219" r:id="rId905" xr:uid="{26559709-85FD-44A2-8F27-B541FF20BED1}"/>
    <hyperlink ref="Q220" r:id="rId906" xr:uid="{7DBA4A43-6A74-401F-AFB9-0D7F7FD73C8C}"/>
    <hyperlink ref="N220" r:id="rId907" xr:uid="{C47E405E-4C47-4E05-B1D7-2432EBE44238}"/>
    <hyperlink ref="J220" r:id="rId908" xr:uid="{6FB9E7FC-EF24-453D-B543-A3F810BD02D6}"/>
    <hyperlink ref="W220" r:id="rId909" xr:uid="{9FC54E06-DFBB-414D-94F6-DDFC986A6907}"/>
    <hyperlink ref="U220" r:id="rId910" xr:uid="{7A50ED9A-F20A-453E-863D-40AC1623F276}"/>
    <hyperlink ref="W221" r:id="rId911" xr:uid="{3E2916E1-AA90-4F6F-8C1D-C25A21AF0B24}"/>
    <hyperlink ref="U221" r:id="rId912" xr:uid="{B414AE3A-1B57-47D5-8FC1-2D03E3F357CA}"/>
    <hyperlink ref="Q221" r:id="rId913" xr:uid="{EDC1F9E6-55D5-4364-9FFF-C9C6DB41E6B3}"/>
    <hyperlink ref="J221" r:id="rId914" xr:uid="{415C6208-9953-40C7-AD0E-E551A3ADB390}"/>
    <hyperlink ref="N221" r:id="rId915" display="Ahmed.Ragab@quanode.com" xr:uid="{C8DA71B3-7E14-4D5A-AB93-07D519155B2E}"/>
    <hyperlink ref="N222" r:id="rId916" xr:uid="{2857C58C-919D-4C41-AD43-242F832D8F76}"/>
    <hyperlink ref="W222" r:id="rId917" xr:uid="{0C454683-856E-4A4F-81B4-B9F7AF0C4B66}"/>
    <hyperlink ref="U222" r:id="rId918" xr:uid="{F66FD636-63B3-4E63-9E92-26AE5020486A}"/>
    <hyperlink ref="J222" r:id="rId919" xr:uid="{1BD34F31-5B8F-4197-ACC4-2707CE1E599E}"/>
    <hyperlink ref="Q223" r:id="rId920" xr:uid="{E95567B4-57AD-4BA9-ABB0-DB5B533F0D9B}"/>
    <hyperlink ref="J223" r:id="rId921" xr:uid="{238180F3-AFA1-4AEC-A3EC-2789FC540DEC}"/>
    <hyperlink ref="W223" r:id="rId922" xr:uid="{9D78262E-A816-4CAB-90B1-C568C305D1EB}"/>
    <hyperlink ref="U223" r:id="rId923" xr:uid="{938B0C43-5939-4BDA-8868-7FFEBECB4794}"/>
    <hyperlink ref="J224" r:id="rId924" xr:uid="{9F5D4760-0E8E-448C-BB67-D590F1989117}"/>
    <hyperlink ref="N224" r:id="rId925" xr:uid="{38FB845A-1201-4880-847E-8148BD424BEA}"/>
    <hyperlink ref="W224" r:id="rId926" xr:uid="{E2784650-0629-4B05-9DDD-852D306729D0}"/>
    <hyperlink ref="U224" r:id="rId927" xr:uid="{8E5B6942-AC18-4FCD-92A8-F0D2AC9196C4}"/>
    <hyperlink ref="Q225" r:id="rId928" xr:uid="{A02E43A2-015D-40EF-B462-6996CB1F8892}"/>
    <hyperlink ref="N225" r:id="rId929" xr:uid="{A4783911-A5B6-4614-8ECF-F6447EB81E16}"/>
    <hyperlink ref="W225" r:id="rId930" xr:uid="{CE3E3C4B-F44A-4782-9136-FCF47FFBB07E}"/>
    <hyperlink ref="U225" r:id="rId931" xr:uid="{A5125DE0-E991-4B1C-A7A1-F5734A04926C}"/>
    <hyperlink ref="J225" r:id="rId932" xr:uid="{CEB204B4-9CD8-480F-B57D-FE22CEC862E0}"/>
    <hyperlink ref="Q226" r:id="rId933" xr:uid="{59BFF992-D5BC-4433-9B8D-CD5797CEC00F}"/>
    <hyperlink ref="W226" r:id="rId934" xr:uid="{B56CA672-5BEE-4334-BA91-F364205A5EDF}"/>
    <hyperlink ref="U226" r:id="rId935" xr:uid="{FF7818C0-FD23-4DCC-BF6A-71C6621C7EAC}"/>
    <hyperlink ref="J226" r:id="rId936" xr:uid="{26A6D201-4E1F-4B1F-8865-4272749B6F81}"/>
    <hyperlink ref="N226" r:id="rId937" xr:uid="{8F5503E9-BDC1-45E5-8BF8-18A7F71CAA29}"/>
    <hyperlink ref="W227" r:id="rId938" xr:uid="{2A150CF0-1696-4734-8AEA-74696FB8E78B}"/>
    <hyperlink ref="U227" r:id="rId939" xr:uid="{7DDFBF13-459E-479E-B825-A8288494A60F}"/>
    <hyperlink ref="Q228" r:id="rId940" xr:uid="{99AEFE60-4025-44E9-A6E1-A0E8BF0A03C0}"/>
    <hyperlink ref="W228" r:id="rId941" xr:uid="{738C4159-9F5B-4095-A282-311070F9CE82}"/>
    <hyperlink ref="U228" r:id="rId942" xr:uid="{817D7268-C32F-49FA-93C4-A95B3554771F}"/>
    <hyperlink ref="J228" r:id="rId943" xr:uid="{05F6CA4B-A1C0-4706-B7D0-0B872F1DF29E}"/>
    <hyperlink ref="J229" r:id="rId944" xr:uid="{8D1C3E71-B73F-4CB4-AEB8-A35C508EC8DC}"/>
    <hyperlink ref="W229" r:id="rId945" xr:uid="{6754D65A-0B55-42AB-9264-3F88FA515E99}"/>
    <hyperlink ref="U229" r:id="rId946" xr:uid="{03996896-5972-4E60-A544-401597C93E1D}"/>
    <hyperlink ref="N229" r:id="rId947" xr:uid="{1023C7F1-EC82-4970-ACAB-55089F06253E}"/>
    <hyperlink ref="N230" r:id="rId948" xr:uid="{5FAC1F28-0D2E-4011-8877-B5ED38E62167}"/>
    <hyperlink ref="W230" r:id="rId949" xr:uid="{258A84E8-45F3-4A7C-BAB6-EB6ED5BFAD18}"/>
    <hyperlink ref="U230" r:id="rId950" xr:uid="{79A19956-4032-40FA-B94C-C48FC0C4C9FF}"/>
    <hyperlink ref="J230" r:id="rId951" xr:uid="{01B3A74B-E298-4030-B9D6-8ACB9C93F036}"/>
    <hyperlink ref="J231" r:id="rId952" xr:uid="{8FE5E134-68A6-4D54-A8A3-3442E69A92C9}"/>
    <hyperlink ref="U231" r:id="rId953" xr:uid="{104BCA0C-5833-463B-B8FD-24AD35AF3391}"/>
    <hyperlink ref="W231" r:id="rId954" xr:uid="{425BB761-093D-406B-B5A9-FA1C40B3DAC4}"/>
    <hyperlink ref="N231" r:id="rId955" xr:uid="{89B74A1A-EB37-4573-B69C-37453AFC7236}"/>
    <hyperlink ref="Q210" r:id="rId956" xr:uid="{FA6136F5-5370-4FBD-8D03-5D1D699C980D}"/>
    <hyperlink ref="W232" r:id="rId957" xr:uid="{D46A36EA-963A-4960-8E34-A373784A70B5}"/>
    <hyperlink ref="U232" r:id="rId958" xr:uid="{A4D5A1F7-C3E4-4FB2-AF1D-63A5DEDD8E11}"/>
    <hyperlink ref="J232" r:id="rId959" xr:uid="{D6F34203-638C-47E5-9C20-2E54C6930A85}"/>
    <hyperlink ref="Q233" r:id="rId960" xr:uid="{3CF1FAED-B69A-4D1A-8225-A9620129B41E}"/>
    <hyperlink ref="W233" r:id="rId961" xr:uid="{3981D812-626F-47E2-826A-65F7AF2B60D8}"/>
    <hyperlink ref="U233" r:id="rId962" xr:uid="{B2B2B6D5-55FC-4F5B-982A-730A2D0C8EFF}"/>
    <hyperlink ref="J233" r:id="rId963" xr:uid="{EC8D5CB0-CB68-46C1-A603-6461C71D9ED5}"/>
    <hyperlink ref="Q234" r:id="rId964" xr:uid="{B35EDAAD-6C48-410A-A7A1-600B25034A7B}"/>
    <hyperlink ref="W234" r:id="rId965" xr:uid="{A9871AE7-40DF-4D6F-80EA-E92B91354D67}"/>
    <hyperlink ref="U234" r:id="rId966" xr:uid="{AC41AFC4-6508-4481-9F33-A6D460285C6F}"/>
    <hyperlink ref="J234" r:id="rId967" xr:uid="{4201C9CD-5CA6-4B24-9BD3-615F54E3360B}"/>
    <hyperlink ref="J235" r:id="rId968" xr:uid="{D85FA3EA-CD1D-488E-80FA-2418A12FAF4E}"/>
    <hyperlink ref="W235" r:id="rId969" xr:uid="{7DDFAD87-B98B-4035-9406-469D77A5C524}"/>
    <hyperlink ref="U235" r:id="rId970" xr:uid="{65A5B4E0-6638-40EF-89F0-98D5E84EABAD}"/>
    <hyperlink ref="Q236" r:id="rId971" xr:uid="{DBA3C550-3333-4174-9C9E-B3FE7F1D5159}"/>
    <hyperlink ref="J236" r:id="rId972" xr:uid="{DED46795-E424-4C1D-88CC-567BE0F303B8}"/>
    <hyperlink ref="W236" r:id="rId973" xr:uid="{6607647C-FE9B-4C3F-B78B-6E0C9FE6F737}"/>
    <hyperlink ref="U236" r:id="rId974" xr:uid="{467D9C9F-1553-4F86-BE57-24C92AD8E78A}"/>
    <hyperlink ref="N237" r:id="rId975" xr:uid="{16A86BD5-9129-4912-AB84-97B64133BB26}"/>
    <hyperlink ref="Q237" r:id="rId976" xr:uid="{1FF049FA-D57D-4220-84BC-A48133432433}"/>
    <hyperlink ref="J237" r:id="rId977" xr:uid="{611937C5-308B-4231-B228-F47EAAC70792}"/>
    <hyperlink ref="W237" r:id="rId978" xr:uid="{35C5BF49-0798-4C33-B9BD-2409E2D2F636}"/>
    <hyperlink ref="U237" r:id="rId979" xr:uid="{474EE12E-A8B3-4723-B223-593D4E21A410}"/>
    <hyperlink ref="W238" r:id="rId980" xr:uid="{5733FCE5-5FE8-4FA7-93FD-F41BE82ED11F}"/>
    <hyperlink ref="U238" r:id="rId981" xr:uid="{2F9C0D45-C31D-4932-AB54-63120FA684E5}"/>
    <hyperlink ref="N239" r:id="rId982" xr:uid="{EF77F439-615F-4D0F-A4ED-B7AB4863E297}"/>
    <hyperlink ref="J239" r:id="rId983" xr:uid="{B5BB4294-203A-4E6C-A986-5DF5ED941874}"/>
    <hyperlink ref="W239" r:id="rId984" xr:uid="{3560D486-093B-41C5-A862-CEBD73040173}"/>
    <hyperlink ref="U239" r:id="rId985" xr:uid="{49718AA0-8471-4C4D-8100-8B5E08884208}"/>
    <hyperlink ref="R239" r:id="rId986" xr:uid="{613472BA-9CBD-446B-BD01-AF58D4909EF1}"/>
    <hyperlink ref="W240" r:id="rId987" xr:uid="{B34CF801-8CE6-488C-A923-6F5997CEBF1F}"/>
    <hyperlink ref="J240" r:id="rId988" xr:uid="{6ECE5FED-CEED-4EFD-81B2-09C0DF54822F}"/>
    <hyperlink ref="U240" r:id="rId989" xr:uid="{0EC7A3AB-5E99-4F50-A085-3F5EF8014738}"/>
    <hyperlink ref="R240" r:id="rId990" xr:uid="{6E822390-DEB2-4B02-9D00-1D9B3CF199B7}"/>
    <hyperlink ref="P240" r:id="rId991" xr:uid="{931D6962-57F3-4B27-A72B-CB063EFD4F10}"/>
    <hyperlink ref="Q241" r:id="rId992" xr:uid="{3821EDB9-0A7B-4C0A-BB46-793204A8C74F}"/>
    <hyperlink ref="N241" r:id="rId993" xr:uid="{AE97009F-EC49-4E8C-9D10-B1D8EFA33012}"/>
    <hyperlink ref="J241" r:id="rId994" xr:uid="{4AA027D3-7552-4E40-B7A9-8C2DD424C2CF}"/>
    <hyperlink ref="W241" r:id="rId995" xr:uid="{89D9A58A-3880-457F-BE4A-1B584D9E7A22}"/>
    <hyperlink ref="U241" r:id="rId996" xr:uid="{8E2B8795-30F5-47F9-AE88-69CC4AAF391A}"/>
    <hyperlink ref="N240" r:id="rId997" xr:uid="{D677069C-003A-4C39-A5CC-9FC9CA002005}"/>
    <hyperlink ref="J242" r:id="rId998" xr:uid="{B74B6F39-4EC9-4885-A3F8-D48B90CCF300}"/>
    <hyperlink ref="W242" r:id="rId999" xr:uid="{CB670622-A9BF-4E23-B6CE-51F358B29E24}"/>
    <hyperlink ref="U242" r:id="rId1000" xr:uid="{5D5F03AF-4918-42BD-B538-74845C6954F2}"/>
    <hyperlink ref="N244" r:id="rId1001" xr:uid="{1708DB86-D613-4B9D-A6C6-CE56F6C2DDA1}"/>
    <hyperlink ref="Q243" r:id="rId1002" xr:uid="{854A6CAA-EEF8-4429-88A9-79BDD1937DBA}"/>
    <hyperlink ref="N243" r:id="rId1003" xr:uid="{80AE5292-A1B7-4F47-A8CD-5C32A6B51E9A}"/>
    <hyperlink ref="J243" r:id="rId1004" xr:uid="{E7B90D7E-9FDF-498B-811A-536847699558}"/>
    <hyperlink ref="W243" r:id="rId1005" xr:uid="{54B196F1-8BE7-4475-B8E9-889771D4111B}"/>
    <hyperlink ref="U243" r:id="rId1006" xr:uid="{478C8B68-0989-469D-8548-C03CC109F345}"/>
    <hyperlink ref="J244" r:id="rId1007" xr:uid="{FB63D251-A1A8-42B7-847D-95227197F537}"/>
    <hyperlink ref="W244" r:id="rId1008" xr:uid="{7D4E2EFA-1C90-486C-873A-082CEA66F2F6}"/>
    <hyperlink ref="U244" r:id="rId1009" xr:uid="{D678FBF3-F40E-4DE6-B898-61177E73014F}"/>
    <hyperlink ref="Q245" r:id="rId1010" xr:uid="{17B47CFD-0550-43CD-A292-F74A1FB77807}"/>
    <hyperlink ref="W245" r:id="rId1011" xr:uid="{A4599F56-D686-40FC-BCA6-64BBC0DED546}"/>
    <hyperlink ref="U245" r:id="rId1012" xr:uid="{6DA817AB-8B01-4F5D-8D07-E5E7041F3B9A}"/>
    <hyperlink ref="J245" r:id="rId1013" xr:uid="{91E2EB22-9854-4921-BF0F-6E807772C4BD}"/>
    <hyperlink ref="N245" r:id="rId1014" xr:uid="{BE51B1B6-D9B4-4A80-8864-6423BC4A2E6A}"/>
    <hyperlink ref="Q246" r:id="rId1015" xr:uid="{88CE7AF1-6198-4E33-9703-923E6F9423A3}"/>
    <hyperlink ref="W246" r:id="rId1016" xr:uid="{D6F184EC-726F-4D7A-8CCF-C9CD5D3B8226}"/>
    <hyperlink ref="U246" r:id="rId1017" xr:uid="{885499AF-55D7-49C4-A3CB-7FC7904AE712}"/>
    <hyperlink ref="J246" r:id="rId1018" xr:uid="{CCEEC308-2808-48D3-B25A-D68324DA69F2}"/>
    <hyperlink ref="N246" r:id="rId1019" xr:uid="{A390AEF3-E950-4A4A-8AEB-C167E0C26F4D}"/>
    <hyperlink ref="N247" r:id="rId1020" display="Peter.Timson@subsec.ai" xr:uid="{24184AF9-932B-4BB8-B4AE-F8B8445A41AF}"/>
    <hyperlink ref="N242" r:id="rId1021" xr:uid="{CAF54B4D-D41C-4497-ABEF-CF4675280267}"/>
    <hyperlink ref="J247" r:id="rId1022" xr:uid="{047501D6-3371-4B40-AE53-CEB790306F28}"/>
    <hyperlink ref="W247" r:id="rId1023" xr:uid="{03621E78-2961-46E1-A35C-5F2BC709B26E}"/>
    <hyperlink ref="U247" r:id="rId1024" xr:uid="{03F9FEEF-2248-466B-9776-405E9BF13055}"/>
    <hyperlink ref="W248" r:id="rId1025" xr:uid="{9C258EE5-F7DC-4BA0-A300-FF61465C7BC4}"/>
    <hyperlink ref="U248" r:id="rId1026" xr:uid="{8E40C6AF-582B-4C3F-AF2D-4A9F4E218F2F}"/>
    <hyperlink ref="J248" r:id="rId1027" xr:uid="{1446FDDC-6C6B-4202-A2A7-A297845F7EED}"/>
    <hyperlink ref="Q248" r:id="rId1028" xr:uid="{A3AF91FF-0F6E-48C7-8E5B-B911A7936CCC}"/>
    <hyperlink ref="Q249" r:id="rId1029" xr:uid="{F2835462-1C8A-4155-BBF9-67F66AE7EE00}"/>
    <hyperlink ref="W249" r:id="rId1030" xr:uid="{56FAF5F0-6EB3-4E9B-9FA4-1D4BE4DCBD2D}"/>
    <hyperlink ref="U249" r:id="rId1031" xr:uid="{C1D8956A-938B-4A2B-8DC3-1BE507490468}"/>
    <hyperlink ref="J249" r:id="rId1032" xr:uid="{68603919-1773-45D0-84CB-849087785137}"/>
    <hyperlink ref="Q250" r:id="rId1033" xr:uid="{AE054428-940A-4CB5-B802-70074B9237E1}"/>
    <hyperlink ref="W250" r:id="rId1034" xr:uid="{BADC257F-9572-452B-94CE-982AD9848C23}"/>
    <hyperlink ref="U250" r:id="rId1035" xr:uid="{ED6EAF41-A407-47D0-A972-5EE7FA2A1C1D}"/>
    <hyperlink ref="J250" r:id="rId1036" xr:uid="{EC343CE8-2265-442C-8683-65770E1C357F}"/>
    <hyperlink ref="N250" r:id="rId1037" xr:uid="{D76F26C4-8C5A-4CD3-A4E0-E013869B25E0}"/>
    <hyperlink ref="N249" r:id="rId1038" xr:uid="{89DC8DFD-37E3-4732-B737-D89FF649785B}"/>
    <hyperlink ref="Q251" r:id="rId1039" xr:uid="{89A7CF84-4978-4B31-89D8-9AE6616C7320}"/>
    <hyperlink ref="W251" r:id="rId1040" xr:uid="{F39E96AF-A888-49B5-A452-EF8D75996A87}"/>
    <hyperlink ref="U251" r:id="rId1041" xr:uid="{5A774F72-6775-4B5B-800E-CC15A0AC71E8}"/>
    <hyperlink ref="J251" r:id="rId1042" xr:uid="{9BF38172-4F34-4D68-B1FB-8000D0665CA2}"/>
    <hyperlink ref="N251" r:id="rId1043" display="Michael.Nagler@beez.world" xr:uid="{3890C513-4CD7-4F76-9289-C343A75B2758}"/>
    <hyperlink ref="P212" r:id="rId1044" xr:uid="{51ECEA58-6BBB-43E2-A1E6-349A42B0B434}"/>
    <hyperlink ref="P246" r:id="rId1045" xr:uid="{443C0FFA-D1A1-4ACD-A174-1243763942B8}"/>
    <hyperlink ref="N223" r:id="rId1046" xr:uid="{9A9F9A49-B810-411F-B3C8-8CD1AAF2EF50}"/>
    <hyperlink ref="N238" r:id="rId1047" xr:uid="{3D9C16ED-4084-4758-B661-EA0D5459CDCE}"/>
    <hyperlink ref="U252" r:id="rId1048" xr:uid="{16B79EC7-07D2-42FC-8C2A-F55B44A7AD5F}"/>
    <hyperlink ref="W252" r:id="rId1049" xr:uid="{E206EEB5-263E-4B1C-BC6D-6E6A4403E473}"/>
    <hyperlink ref="J252" r:id="rId1050" xr:uid="{28ED4FAC-218C-4D62-ACB4-B548A18DEA07}"/>
    <hyperlink ref="N252" r:id="rId1051" xr:uid="{CF858AF0-9EB6-4BFC-9918-FA7F20BCA166}"/>
    <hyperlink ref="Q252" r:id="rId1052" xr:uid="{950EF952-0EA9-49BD-9A5C-31A2EB31AA7D}"/>
    <hyperlink ref="Q253" r:id="rId1053" xr:uid="{B964E695-6D32-4581-90D6-9CB392D5219D}"/>
    <hyperlink ref="W253" r:id="rId1054" xr:uid="{693F5D90-65BB-475E-BB72-F6E1E665F7AD}"/>
    <hyperlink ref="U253" r:id="rId1055" xr:uid="{3E3546AE-1272-4F36-88BE-1DC10D9C917A}"/>
    <hyperlink ref="J253" r:id="rId1056" xr:uid="{FB1F4C94-5BB3-49A9-B699-BB478159BF87}"/>
    <hyperlink ref="J254" r:id="rId1057" xr:uid="{7FD5B637-003B-47C1-A3F6-854FE8F504AA}"/>
    <hyperlink ref="W254" r:id="rId1058" xr:uid="{8B978406-BF79-4C49-A14A-5FFDFA69270A}"/>
    <hyperlink ref="U254" r:id="rId1059" xr:uid="{C1FE350C-1E18-4044-989F-5ADC22536F4C}"/>
    <hyperlink ref="Q254" r:id="rId1060" xr:uid="{5D975F89-884C-447C-859A-0AD9E9295FFF}"/>
    <hyperlink ref="J255" r:id="rId1061" xr:uid="{C1726BD7-7EBD-4B94-9E03-C27BD88EF712}"/>
    <hyperlink ref="W255" r:id="rId1062" xr:uid="{C1A76B3D-A633-493B-9286-A4F7141DE195}"/>
    <hyperlink ref="U255" r:id="rId1063" xr:uid="{023F59BC-43FB-4453-A025-ABCD262EE764}"/>
    <hyperlink ref="Q255" r:id="rId1064" xr:uid="{D1FCE836-B424-42B0-A0F5-612C5673FF18}"/>
    <hyperlink ref="N255" r:id="rId1065" xr:uid="{059E6CE6-FFC4-48DB-B055-0CEB506700C5}"/>
    <hyperlink ref="W256" r:id="rId1066" xr:uid="{3433E2F0-637A-4A05-8074-39BB92CE78C9}"/>
    <hyperlink ref="U256" r:id="rId1067" xr:uid="{425B3319-BA8A-4897-9094-342A683278BE}"/>
    <hyperlink ref="N257" r:id="rId1068" xr:uid="{C8058CE9-07B9-46DA-B411-1668580C8513}"/>
    <hyperlink ref="J257" r:id="rId1069" xr:uid="{38C66FBA-5A44-458A-8D45-B2837D6A4BA6}"/>
    <hyperlink ref="W257" r:id="rId1070" xr:uid="{0A9743ED-AD3F-4AB9-85D2-D08E56E7CA2A}"/>
    <hyperlink ref="U257" r:id="rId1071" xr:uid="{09D9F3FB-27DE-4E0F-8E6C-42DEC5F61D0B}"/>
    <hyperlink ref="W258" r:id="rId1072" xr:uid="{8D69A422-1B82-412D-B887-FD200800B98E}"/>
    <hyperlink ref="U258" r:id="rId1073" xr:uid="{99044D69-B270-49E2-8774-312A03865A43}"/>
    <hyperlink ref="Q259" r:id="rId1074" xr:uid="{B898B3B0-A4A1-4CE4-A2D1-1303D2F958A3}"/>
    <hyperlink ref="N259" r:id="rId1075" xr:uid="{8DF48E6F-14DF-4695-8B4B-0ADB03844BB8}"/>
    <hyperlink ref="W259" r:id="rId1076" xr:uid="{74AF985C-EDBE-42D9-9DDC-0449B2A5A278}"/>
    <hyperlink ref="U259" r:id="rId1077" xr:uid="{8304AF65-8516-4741-B92C-425C9EB04F70}"/>
    <hyperlink ref="J259" r:id="rId1078" xr:uid="{642D0216-63D2-4043-854F-BD39059A285E}"/>
    <hyperlink ref="Q260" r:id="rId1079" xr:uid="{92108383-94E8-4F67-B8DE-05B15495006C}"/>
    <hyperlink ref="R260" r:id="rId1080" xr:uid="{07F86269-626B-4737-9382-0CA952CE137B}"/>
    <hyperlink ref="W260" r:id="rId1081" xr:uid="{536EDF68-F59D-4DF6-B960-3EF8C6ABE8AD}"/>
    <hyperlink ref="U260" r:id="rId1082" xr:uid="{A2DB8A44-BEB4-4212-8B93-B96AD808DEB4}"/>
    <hyperlink ref="J260" r:id="rId1083" xr:uid="{A1B14370-91BA-40C4-BA6F-84C1A25CD86F}"/>
    <hyperlink ref="J261" r:id="rId1084" xr:uid="{53C71C51-5889-4E82-A028-31CD960A39F9}"/>
    <hyperlink ref="W261" r:id="rId1085" xr:uid="{FC94D7E2-E534-434A-8A3C-B792BFB3C1E4}"/>
    <hyperlink ref="N261" r:id="rId1086" xr:uid="{D38C8B89-BE3A-468B-A854-C667EE0F5390}"/>
    <hyperlink ref="U261" r:id="rId1087" xr:uid="{54CC2758-D75B-42D7-AAE4-5EA8FC5EE61E}"/>
    <hyperlink ref="Q261" r:id="rId1088" xr:uid="{6EC4F773-5247-4E3E-ACF2-27D7A8DCAEC4}"/>
    <hyperlink ref="P260" r:id="rId1089" xr:uid="{E5C336C3-9599-4503-8F73-F94EB7512D00}"/>
    <hyperlink ref="Q262" r:id="rId1090" xr:uid="{8856F717-09FC-4AF1-8989-BC441553B8F3}"/>
    <hyperlink ref="N262" r:id="rId1091" xr:uid="{10EE1350-62D2-4219-8597-4337B3BF35F6}"/>
    <hyperlink ref="J262" r:id="rId1092" xr:uid="{B6AB8A31-B408-4A38-ACBF-5C1F40875A9D}"/>
    <hyperlink ref="W262" r:id="rId1093" xr:uid="{ECCBE321-6CB9-4E8A-877C-5F0D4BB21CF8}"/>
    <hyperlink ref="U262" r:id="rId1094" xr:uid="{A8D77FF7-D863-475C-92E8-97C7D144EAF4}"/>
    <hyperlink ref="Q263" r:id="rId1095" xr:uid="{8814144C-4D11-4ADA-86A6-6F9954828270}"/>
    <hyperlink ref="J263" r:id="rId1096" xr:uid="{7C0EA985-BC64-4DCE-8C91-ACC4F1B3FC2F}"/>
    <hyperlink ref="W263" r:id="rId1097" xr:uid="{50B7D21E-3CB4-4E40-9385-09D2471C1D9D}"/>
    <hyperlink ref="U263" r:id="rId1098" xr:uid="{2A958800-602A-4632-8254-6D79DD4FEE2C}"/>
    <hyperlink ref="N263" r:id="rId1099" display="Sam@cashcoach.co" xr:uid="{5000A6C5-E3D3-4B2E-B355-9671F58B6F33}"/>
    <hyperlink ref="Q257" r:id="rId1100" xr:uid="{5BBFC195-A67F-46C1-AE2C-124C67A7AB96}"/>
    <hyperlink ref="R263" r:id="rId1101" xr:uid="{21E514D9-7858-4BFE-9C34-D2C6CC937505}"/>
    <hyperlink ref="O259" r:id="rId1102" xr:uid="{58A37995-869F-4B1A-BD8F-70367C74FC96}"/>
    <hyperlink ref="J264" r:id="rId1103" xr:uid="{B06B281D-C3B0-4108-88A0-619462C9AAFE}"/>
    <hyperlink ref="N264" r:id="rId1104" xr:uid="{E368363C-FDB9-4A8F-8DDE-A0645527DF77}"/>
    <hyperlink ref="W264" r:id="rId1105" xr:uid="{B997D889-A491-4854-A5D8-A17295601F73}"/>
    <hyperlink ref="U264" r:id="rId1106" xr:uid="{0E1F51A2-B806-4AAB-B837-1F62F0737B97}"/>
    <hyperlink ref="W265" r:id="rId1107" xr:uid="{6FBE0BBF-A97A-4C09-AA40-1DA9D5020355}"/>
    <hyperlink ref="U265" r:id="rId1108" xr:uid="{5F554F39-8F38-40F8-9315-1FF3C749F9B1}"/>
    <hyperlink ref="J265" r:id="rId1109" xr:uid="{5A318EA7-1D92-43B2-A169-FB3FCF5AD5A9}"/>
    <hyperlink ref="N265" r:id="rId1110" xr:uid="{0EDA24B8-DC65-4BEA-905C-8187655B4121}"/>
    <hyperlink ref="W266" r:id="rId1111" xr:uid="{9925CC0E-628C-4DCE-BA0E-8F77B59D0624}"/>
    <hyperlink ref="U266" r:id="rId1112" xr:uid="{9D9EDA6B-947B-44DD-B87F-40EDEADED880}"/>
    <hyperlink ref="J266" r:id="rId1113" xr:uid="{AAC685EE-EC2A-4280-A446-742D18CD2717}"/>
    <hyperlink ref="N266" r:id="rId1114" display="gregory@3DApartment.com / " xr:uid="{F57FBF83-53D3-4F8D-9063-5F6A108A853D}"/>
    <hyperlink ref="W267" r:id="rId1115" xr:uid="{4888C93D-F1AE-4C7A-8866-8EAF3E3AAC96}"/>
    <hyperlink ref="U267" r:id="rId1116" xr:uid="{0FFFE748-06B2-4622-8E8D-7E44357C7190}"/>
    <hyperlink ref="J267" r:id="rId1117" xr:uid="{36BB3C37-B94F-4C6B-B886-7160CC3EF341}"/>
    <hyperlink ref="N267" r:id="rId1118" xr:uid="{B495772F-3565-4A3C-A6B2-40013FE5D95C}"/>
    <hyperlink ref="N268" r:id="rId1119" xr:uid="{6D67D8AA-9049-4ECA-A0C6-BF00E9C494C1}"/>
    <hyperlink ref="W268" r:id="rId1120" xr:uid="{77F379D5-00DE-4EBA-8A50-2BF15A873A71}"/>
    <hyperlink ref="U268" r:id="rId1121" xr:uid="{7CBC1EF5-C7F5-4F29-9886-FBBEACE9351B}"/>
    <hyperlink ref="N269" r:id="rId1122" display="nancy@rebelrolemodel.com" xr:uid="{8F20E1EF-EE1B-4E91-908F-4FEF8804006C}"/>
    <hyperlink ref="W269" r:id="rId1123" xr:uid="{0713073D-0B19-4D54-87B7-EF70C5E680F7}"/>
    <hyperlink ref="U269" r:id="rId1124" xr:uid="{366D1FDB-2550-4F22-B474-BA8C658B3C86}"/>
    <hyperlink ref="J268" r:id="rId1125" xr:uid="{6CC487F9-9AAA-4455-BFA9-B3354E6D61C4}"/>
    <hyperlink ref="J269" r:id="rId1126" xr:uid="{02051E71-202B-4251-ACDD-402560731B71}"/>
    <hyperlink ref="Q270" r:id="rId1127" xr:uid="{DE914A67-83D4-4EB7-BE24-A63B0A25FBF1}"/>
    <hyperlink ref="W270" r:id="rId1128" xr:uid="{55EF584C-C824-42EA-A46E-BCE825862D72}"/>
    <hyperlink ref="U270" r:id="rId1129" xr:uid="{7C32B707-52C6-457E-A003-ADEAB9051056}"/>
    <hyperlink ref="N270" r:id="rId1130" xr:uid="{1594C8E1-A2F6-4BE8-BD26-5BBCE8B14920}"/>
    <hyperlink ref="J270" r:id="rId1131" xr:uid="{06447CAD-6D09-4C3F-AD1A-8A9D8A5528DA}"/>
    <hyperlink ref="N271" r:id="rId1132" xr:uid="{D9983F76-4528-4111-9A6E-6E173853A693}"/>
    <hyperlink ref="W271" r:id="rId1133" xr:uid="{8213B843-150D-49F0-AEDB-D2A9831AF410}"/>
    <hyperlink ref="U271" r:id="rId1134" xr:uid="{5B8BF19F-D6A2-49CD-AF71-7F2EDA3B0C9C}"/>
    <hyperlink ref="J271" r:id="rId1135" xr:uid="{04D28F57-83D9-4D14-B40B-FA5807B0B7F5}"/>
    <hyperlink ref="N272" r:id="rId1136" xr:uid="{2FD7F888-7026-4D8C-AC16-190CC02569F0}"/>
    <hyperlink ref="W272" r:id="rId1137" xr:uid="{29CE4328-5AD1-41D1-AD0F-A44DA1D5A5B2}"/>
    <hyperlink ref="U272" r:id="rId1138" xr:uid="{A038AE16-ADE8-4F75-A1E6-1F557DC406C6}"/>
    <hyperlink ref="J272" r:id="rId1139" xr:uid="{FB86A9D4-E9FE-489C-9B4C-D901817D976E}"/>
    <hyperlink ref="J273" r:id="rId1140" xr:uid="{A1CE99E6-19A9-40FA-9B36-23FE5E4B2744}"/>
    <hyperlink ref="W273" r:id="rId1141" xr:uid="{4A89C4FE-11C7-4ACC-B985-B218A087D855}"/>
    <hyperlink ref="U273" r:id="rId1142" xr:uid="{65041D6B-2742-4DDD-B489-13DD866690A1}"/>
    <hyperlink ref="W274" r:id="rId1143" xr:uid="{4F59C319-8BE1-4C36-AADA-2EFCE81DF5F7}"/>
    <hyperlink ref="U274" r:id="rId1144" xr:uid="{58282373-0CB2-4383-A706-3ACC5B8E6743}"/>
    <hyperlink ref="J275" r:id="rId1145" xr:uid="{165C47F5-60BA-4DF4-BC5B-E1B696D1F96C}"/>
    <hyperlink ref="W275" r:id="rId1146" xr:uid="{8D73D4CB-5430-4112-B746-5F0A7659EF45}"/>
    <hyperlink ref="U275" r:id="rId1147" xr:uid="{FB8A4F96-6151-4D4B-B0F1-059C83C8B987}"/>
    <hyperlink ref="N275" r:id="rId1148" xr:uid="{5B94A19B-8F2D-46EE-9BBB-1BDE567EC0E4}"/>
    <hyperlink ref="N276" r:id="rId1149" xr:uid="{747E03C8-808B-4252-9DCD-ED2226DFD2E4}"/>
    <hyperlink ref="J276" r:id="rId1150" xr:uid="{A832C71A-2B20-441F-B0A9-6BC6934B699F}"/>
    <hyperlink ref="U276" r:id="rId1151" xr:uid="{2A7433DB-F77F-4356-9CDB-88829023C88C}"/>
    <hyperlink ref="N274" r:id="rId1152" xr:uid="{7B32C32E-8662-4027-B48F-47314B30905E}"/>
    <hyperlink ref="N277" r:id="rId1153" xr:uid="{A283CC4E-7610-4C00-9FAB-7BFC8A12151D}"/>
    <hyperlink ref="Q277" r:id="rId1154" xr:uid="{00279629-6707-485E-B3BD-3FD2CDD217D9}"/>
    <hyperlink ref="W277" r:id="rId1155" xr:uid="{89331F86-F5AA-4908-A060-DCA01DBACA7F}"/>
    <hyperlink ref="W276" r:id="rId1156" xr:uid="{04E1597B-917C-4D74-83CB-270200AB130A}"/>
    <hyperlink ref="U277" r:id="rId1157" xr:uid="{7DC1B58E-B742-47C6-9323-7D7035E0C56A}"/>
    <hyperlink ref="J277" r:id="rId1158" xr:uid="{0526D5FC-750B-49B2-B7A1-0317733EC774}"/>
    <hyperlink ref="Q278" r:id="rId1159" xr:uid="{B0980590-3FD9-4F4D-8218-ACECF78B5BCC}"/>
    <hyperlink ref="N278" r:id="rId1160" xr:uid="{34C804D3-3168-470E-8B61-6A4D80EAA0CF}"/>
    <hyperlink ref="W278" r:id="rId1161" xr:uid="{8BF84BAA-FE7B-4A28-B7C1-DFEEDBC1D5EB}"/>
    <hyperlink ref="U278" r:id="rId1162" xr:uid="{8A16C6E2-B221-412E-9CC7-8C885690463C}"/>
    <hyperlink ref="J278" r:id="rId1163" xr:uid="{DD625422-24B3-4BE1-9253-1251F2F244B0}"/>
    <hyperlink ref="Q279" r:id="rId1164" xr:uid="{C51B3F94-784E-4469-BDC1-E7A3DD4967C5}"/>
    <hyperlink ref="J279" r:id="rId1165" xr:uid="{56FBA176-D0D6-4F1E-9632-5FC9556CB349}"/>
    <hyperlink ref="W279" r:id="rId1166" xr:uid="{B38614FF-3D63-4961-A9E6-0B388592C586}"/>
    <hyperlink ref="U279" r:id="rId1167" xr:uid="{1FB06D1C-5E8C-4138-B330-C1E26C58DC11}"/>
    <hyperlink ref="U280" r:id="rId1168" xr:uid="{C6C38E23-4900-45F3-AD2F-A6ACE69210D5}"/>
    <hyperlink ref="J280" r:id="rId1169" xr:uid="{BFEB661E-EF82-453C-A82B-587585BD9BEC}"/>
    <hyperlink ref="N280" r:id="rId1170" xr:uid="{0447E674-3D88-4CAE-BC31-7A79B53D2163}"/>
    <hyperlink ref="Q281" r:id="rId1171" xr:uid="{A9C50E71-494B-46EB-B56D-A18808A3A08B}"/>
    <hyperlink ref="N281" r:id="rId1172" xr:uid="{36D4F151-D574-4B09-862A-697E7DC1166E}"/>
    <hyperlink ref="W281" r:id="rId1173" xr:uid="{585A14F6-A308-4352-9B85-55FC4A354E63}"/>
    <hyperlink ref="U281" r:id="rId1174" xr:uid="{C3414809-48B4-47D0-8C9E-7C991C040797}"/>
    <hyperlink ref="J281" r:id="rId1175" xr:uid="{7DA97302-AB8B-43EC-BEE4-F920127DF0C7}"/>
    <hyperlink ref="J282" r:id="rId1176" xr:uid="{61DA66C5-4900-4B70-950F-EFAB85EE99F5}"/>
    <hyperlink ref="W282" r:id="rId1177" xr:uid="{BDA208B5-2E71-45DB-AB53-D3F8D098E3C5}"/>
    <hyperlink ref="U282" r:id="rId1178" xr:uid="{0516F52B-5152-459C-9E8A-3F10D49C7A1D}"/>
    <hyperlink ref="N282" r:id="rId1179" xr:uid="{4C952D29-20DF-4350-BFEF-AF51180037C1}"/>
    <hyperlink ref="Q282" r:id="rId1180" xr:uid="{EF902BFE-001D-4D01-AE3E-84E09EF3CB2B}"/>
    <hyperlink ref="Q283" r:id="rId1181" xr:uid="{F297E307-4574-4109-B4A1-42D620997B00}"/>
    <hyperlink ref="N283" r:id="rId1182" display="Emily.Moss@altanddot.com" xr:uid="{C2814C87-D775-4A7B-8CB1-0009C81D48C0}"/>
    <hyperlink ref="W283" r:id="rId1183" xr:uid="{83D01683-9D6F-418F-89F5-9D9146620465}"/>
    <hyperlink ref="U283" r:id="rId1184" xr:uid="{FB98F8F6-AE03-4A6C-BBA4-64BD9B2174F0}"/>
    <hyperlink ref="J283" r:id="rId1185" xr:uid="{B13A6ADD-34C9-4204-8765-057CED3CE08A}"/>
    <hyperlink ref="W284" r:id="rId1186" xr:uid="{DF023D2A-BC6B-4199-9575-7960F87B84FE}"/>
    <hyperlink ref="U284" r:id="rId1187" xr:uid="{E403EEFE-7A61-4C87-87C5-0E474E25C37D}"/>
    <hyperlink ref="N284" r:id="rId1188" xr:uid="{037E2B71-76F4-4A8A-8A66-95B9D1E15B52}"/>
    <hyperlink ref="J284" r:id="rId1189" xr:uid="{7DB5C926-C702-41C7-9761-CB9640D108F3}"/>
    <hyperlink ref="N285" r:id="rId1190" xr:uid="{79BB4458-EE19-4EFE-AE8F-19717FF5C5C2}"/>
    <hyperlink ref="W285" r:id="rId1191" xr:uid="{A7254182-97BB-4341-A801-E601B5A1D4FD}"/>
    <hyperlink ref="U285" r:id="rId1192" xr:uid="{809562D0-F090-4FCB-A469-8A15D2CA981E}"/>
    <hyperlink ref="J285" r:id="rId1193" xr:uid="{F40C9F6A-4D8F-4767-8438-CFB6792D1E48}"/>
    <hyperlink ref="W286" r:id="rId1194" xr:uid="{BDDC3BC4-F48A-48B3-9423-D5AD705297C9}"/>
    <hyperlink ref="U286" r:id="rId1195" xr:uid="{5C92390F-BF77-47EC-B08F-25CEF03A86BC}"/>
    <hyperlink ref="J286" r:id="rId1196" xr:uid="{2634B139-3037-4920-8BC2-32791735E14C}"/>
    <hyperlink ref="N286" r:id="rId1197" xr:uid="{EC3C6705-A58C-4413-B98B-A891040F1478}"/>
    <hyperlink ref="Q286" r:id="rId1198" xr:uid="{43777D69-978C-43AB-8861-0834D95D8BB9}"/>
    <hyperlink ref="W287" r:id="rId1199" xr:uid="{A0BD62CA-2480-4C9C-83BF-D17C60483BA5}"/>
    <hyperlink ref="U287" r:id="rId1200" xr:uid="{C69F0681-75D7-48DC-8547-5B03FD836A93}"/>
    <hyperlink ref="J287" r:id="rId1201" xr:uid="{B170F914-19B5-4446-806F-EA6D74693643}"/>
    <hyperlink ref="N287" r:id="rId1202" xr:uid="{830B1835-18C9-4BC9-A9A1-7AC3FF532C7B}"/>
    <hyperlink ref="Q287" r:id="rId1203" xr:uid="{D3DE11A2-33F4-49FE-B87C-0061D8B20713}"/>
    <hyperlink ref="R287" r:id="rId1204" xr:uid="{D5437C68-288F-490C-AE58-24EB52460AEC}"/>
    <hyperlink ref="N288" r:id="rId1205" xr:uid="{9B725BBE-62E7-4B14-AB2E-543613F20A32}"/>
    <hyperlink ref="J288" r:id="rId1206" xr:uid="{EC184EC7-F577-4D20-869D-295B3D780ED6}"/>
    <hyperlink ref="W288" r:id="rId1207" xr:uid="{28C5370E-20C9-48B6-B7CA-E66B3FC9905D}"/>
    <hyperlink ref="U288" r:id="rId1208" xr:uid="{9C724B2D-D7E2-4DBA-BDF4-02AFDAEFC309}"/>
    <hyperlink ref="N289" r:id="rId1209" xr:uid="{ECDAB082-6EFE-4114-8563-4F5B13487730}"/>
    <hyperlink ref="J289" r:id="rId1210" xr:uid="{DD76634C-291B-40DB-AF29-0D49066907AB}"/>
    <hyperlink ref="W289" r:id="rId1211" xr:uid="{BF000740-4BF9-4C15-A388-E5AB0D88304A}"/>
    <hyperlink ref="U289" r:id="rId1212" xr:uid="{BFD92CC4-C616-4A4A-8336-BBD3229ECA1F}"/>
    <hyperlink ref="N290" r:id="rId1213" xr:uid="{AB8DFBBA-7378-403D-9DB8-F61381C20103}"/>
    <hyperlink ref="W290" r:id="rId1214" xr:uid="{47C1897D-613E-4ADC-BFF7-661B9CCE883F}"/>
    <hyperlink ref="U290" r:id="rId1215" xr:uid="{EB0BCD8B-93CD-4366-9EAB-F94780911E37}"/>
    <hyperlink ref="J290" r:id="rId1216" xr:uid="{2BCE883D-66C9-4677-A00A-E3665A1F4D40}"/>
    <hyperlink ref="N291" r:id="rId1217" xr:uid="{DB662767-2251-49B7-82BF-6164EAD3FFBD}"/>
    <hyperlink ref="W291" r:id="rId1218" xr:uid="{49E2F185-FF20-4009-82D6-8A9F1969272F}"/>
    <hyperlink ref="U291" r:id="rId1219" xr:uid="{69D41BAF-ACAC-4764-8619-5AD830ADEBDE}"/>
    <hyperlink ref="J291" r:id="rId1220" xr:uid="{C101D8FA-CB4A-4D26-8014-B33225522CA6}"/>
    <hyperlink ref="N292" r:id="rId1221" xr:uid="{06632A4F-9ECA-442B-A29F-1011EDE3E5D3}"/>
    <hyperlink ref="W292" r:id="rId1222" xr:uid="{EDCBB29B-E271-42BF-B3D3-37FAF505BE5C}"/>
    <hyperlink ref="U292" r:id="rId1223" xr:uid="{4BE29070-242B-4E12-A9E5-9D79E4643C2A}"/>
    <hyperlink ref="J292" r:id="rId1224" xr:uid="{F0ABEFE6-778A-404E-9CC5-F82B2D8C81B8}"/>
    <hyperlink ref="U293" r:id="rId1225" xr:uid="{CE503DC7-22E2-433C-B407-73A0F614BBCC}"/>
    <hyperlink ref="U294" r:id="rId1226" xr:uid="{B91DC4EB-5BD8-4EBE-825A-0EE6C2DEF114}"/>
    <hyperlink ref="J294" r:id="rId1227" xr:uid="{E419B915-B8D3-4DBA-AC35-178048A625F4}"/>
    <hyperlink ref="U295" r:id="rId1228" xr:uid="{D67E7306-DDCB-4864-89AD-F35F5B559C53}"/>
    <hyperlink ref="J295" r:id="rId1229" xr:uid="{93222CAB-1057-45CC-89E4-FEC1A4162923}"/>
    <hyperlink ref="N295" r:id="rId1230" display="Matt.Wilson@twigdoo.com" xr:uid="{AC32B83F-D534-427F-BBD3-5C139D70763F}"/>
    <hyperlink ref="Q295" r:id="rId1231" xr:uid="{8D4C5E53-34DA-49E0-9C07-48525AA4F0F4}"/>
    <hyperlink ref="Q296" r:id="rId1232" xr:uid="{D57012CD-390F-4AF7-B2EF-A9E8F74CE280}"/>
    <hyperlink ref="U296" r:id="rId1233" xr:uid="{AB1D2C96-AA94-4E47-9579-6B3EB563838B}"/>
    <hyperlink ref="J296" r:id="rId1234" xr:uid="{AA9A409B-C7DD-4B2D-B2B0-90391D3718D7}"/>
    <hyperlink ref="N297" r:id="rId1235" xr:uid="{60339806-EA30-47CA-8C96-8D6BC099B0AF}"/>
    <hyperlink ref="U297" r:id="rId1236" xr:uid="{FB94A43D-3B37-43FC-BD1A-4956283CEC69}"/>
    <hyperlink ref="J297" r:id="rId1237" xr:uid="{589E6EF5-5DF0-4DCC-BC20-003D4E8D1F01}"/>
    <hyperlink ref="Q297" r:id="rId1238" xr:uid="{64CA5BEC-3191-44B9-AA62-36035E9C77EB}"/>
    <hyperlink ref="N298" r:id="rId1239" xr:uid="{874816FC-64C4-4067-A13F-91AEC6A9BE47}"/>
    <hyperlink ref="U298" r:id="rId1240" xr:uid="{18C624E5-81F8-46F1-87B8-C369EB733FCA}"/>
    <hyperlink ref="J298" r:id="rId1241" xr:uid="{8A9BDE26-7FBA-4FD2-B1A7-581DE186EFD1}"/>
    <hyperlink ref="Q298" r:id="rId1242" xr:uid="{E4B87638-0702-4083-839A-36BF4577715D}"/>
    <hyperlink ref="N299" r:id="rId1243" xr:uid="{832FD787-37EC-4549-82E9-DF7C7EE2927F}"/>
    <hyperlink ref="U299" r:id="rId1244" xr:uid="{979DACD6-4D7A-418E-92C8-3D1400FFAD06}"/>
    <hyperlink ref="J299" r:id="rId1245" xr:uid="{CE9487C0-D6FA-46B1-BFEF-AED86C7E0E30}"/>
    <hyperlink ref="N300" r:id="rId1246" xr:uid="{08DDF02C-A526-4EBF-A613-07A6F1C48190}"/>
    <hyperlink ref="U300" r:id="rId1247" xr:uid="{E03300DE-0437-4256-8FC0-65355CB4DB4E}"/>
    <hyperlink ref="J300" r:id="rId1248" xr:uid="{E8E9027E-C6C1-435D-BB03-6DF93E7A8B8A}"/>
    <hyperlink ref="Q301" r:id="rId1249" xr:uid="{A556F41C-779D-4BCD-8541-C1AC8756924A}"/>
    <hyperlink ref="J301" r:id="rId1250" xr:uid="{CD088972-8D92-4214-9C89-07F53EED0896}"/>
    <hyperlink ref="U301" r:id="rId1251" xr:uid="{A198C5EC-5E5D-48EF-A4B9-5A9400CE6794}"/>
    <hyperlink ref="N301" r:id="rId1252" xr:uid="{FBAD1319-F204-41F5-872B-499A0A68A92D}"/>
    <hyperlink ref="U302" r:id="rId1253" xr:uid="{41F19CF6-990F-40B7-8016-CC741B033383}"/>
    <hyperlink ref="J302" r:id="rId1254" xr:uid="{83F2A0C9-EE48-4279-B97C-8D7BC67304F9}"/>
    <hyperlink ref="N302" r:id="rId1255" xr:uid="{07370D6D-30CF-4E62-8DC1-0E1B4957D4F5}"/>
    <hyperlink ref="U303" r:id="rId1256" xr:uid="{DFA96470-4388-4278-A3B5-624CC2E60313}"/>
    <hyperlink ref="J303" r:id="rId1257" xr:uid="{A6EBC331-D2D8-4090-8F67-2795BB4171A7}"/>
    <hyperlink ref="N304" r:id="rId1258" xr:uid="{ED856796-3323-445D-AB5B-A74E5C577C3B}"/>
    <hyperlink ref="U304" r:id="rId1259" xr:uid="{3520EB5D-5BF0-4D86-AC9F-F1342D65C303}"/>
    <hyperlink ref="J304" r:id="rId1260" xr:uid="{5861FC1C-D861-4D5B-92C5-BB6F67F170ED}"/>
    <hyperlink ref="J305" r:id="rId1261" xr:uid="{665C3AC4-5C0E-4F7E-B102-B17DE13FDC20}"/>
    <hyperlink ref="U305" r:id="rId1262" xr:uid="{2A66EDE0-EA2E-4619-B480-C4D7E97996DB}"/>
    <hyperlink ref="N305" r:id="rId1263" xr:uid="{9EDDD3D3-F5E0-4185-87C0-454B12BBF947}"/>
    <hyperlink ref="N306" r:id="rId1264" xr:uid="{29189EF2-54EE-4103-9FBF-BE0797FA7754}"/>
    <hyperlink ref="J306" r:id="rId1265" xr:uid="{DA1991D4-9F97-4327-9C15-CC9BFB023763}"/>
    <hyperlink ref="U306" r:id="rId1266" xr:uid="{716C91E6-9EE0-481D-B71D-1D35480D817C}"/>
    <hyperlink ref="N307" r:id="rId1267" xr:uid="{0ACC94BF-40A5-42B4-B3E0-067CB498DCBA}"/>
    <hyperlink ref="U307" r:id="rId1268" xr:uid="{2236CB86-59B2-4FC6-B51D-FD7A97A966C5}"/>
    <hyperlink ref="J307" r:id="rId1269" xr:uid="{BEC389C7-1DC6-40E7-82CC-911C5AC94C30}"/>
    <hyperlink ref="N308" r:id="rId1270" xr:uid="{A1876E8C-8ED8-4DEA-99FC-5AFB8E55DBEA}"/>
    <hyperlink ref="U308" r:id="rId1271" xr:uid="{E4F50609-4BA4-4E5A-8CF5-55B819D8AF51}"/>
    <hyperlink ref="J308" r:id="rId1272" xr:uid="{CB2DDFCC-2A43-4F59-BC24-B6FBF7680ACF}"/>
    <hyperlink ref="J309" r:id="rId1273" xr:uid="{5008DA40-62F2-4DBA-BBFE-9685241C85DA}"/>
    <hyperlink ref="U309" r:id="rId1274" xr:uid="{75441DE7-947D-4D65-9851-3044D18480B4}"/>
    <hyperlink ref="N309" r:id="rId1275" xr:uid="{1F8C713F-F312-49D4-B892-82EF7346D72D}"/>
    <hyperlink ref="W310" r:id="rId1276" xr:uid="{5CA1BB69-0272-4E6D-AD47-31EDCDF6E7BD}"/>
    <hyperlink ref="U310" r:id="rId1277" xr:uid="{8D139566-F30E-4B4A-AE4E-88646D700EE5}"/>
    <hyperlink ref="J310" r:id="rId1278" xr:uid="{FFD2F5C9-1502-4EDF-86B3-81058B198A34}"/>
    <hyperlink ref="N310" r:id="rId1279" xr:uid="{39997555-1CC6-4D0A-B3AA-6D80999E3005}"/>
    <hyperlink ref="Q310" r:id="rId1280" xr:uid="{C1167B74-54D5-470D-8DF7-D69E0FA92943}"/>
    <hyperlink ref="W311" r:id="rId1281" xr:uid="{FE7554F1-08CA-4624-997A-A9515B289AEF}"/>
    <hyperlink ref="U311" r:id="rId1282" xr:uid="{9C5792D6-BDC9-444D-97F4-0C16EB4BCFE3}"/>
    <hyperlink ref="J311" r:id="rId1283" xr:uid="{32806B9F-6772-4BFF-ADE6-D3BE729E4B62}"/>
    <hyperlink ref="N311" r:id="rId1284" xr:uid="{BBD6C46C-6145-4548-BF1D-343DC152E08F}"/>
    <hyperlink ref="W312" r:id="rId1285" xr:uid="{AF1D6239-2612-4F4B-BD46-B281D89D1C3F}"/>
    <hyperlink ref="U312" r:id="rId1286" xr:uid="{5BF1A354-1504-4438-8CF9-81D373AA1A30}"/>
    <hyperlink ref="W313" r:id="rId1287" xr:uid="{9D66E4F5-72BC-43A5-86DA-0081EC036A4A}"/>
    <hyperlink ref="U313" r:id="rId1288" xr:uid="{579F03C7-DEF7-495B-B01D-2A493088E55F}"/>
    <hyperlink ref="N313" r:id="rId1289" xr:uid="{53FC570F-F582-446F-82C6-D3E670E3860F}"/>
    <hyperlink ref="J313" r:id="rId1290" xr:uid="{B5646B5B-0957-4FDD-9F3B-15C112F7B8DA}"/>
    <hyperlink ref="Q313" r:id="rId1291" xr:uid="{071B4072-57F4-499C-B6BF-EA0F3169846E}"/>
    <hyperlink ref="Q314" r:id="rId1292" xr:uid="{E3FA6C16-E3B8-4E55-B00E-65BBFE8E1C98}"/>
    <hyperlink ref="J314" r:id="rId1293" xr:uid="{2A93974D-590F-4E14-9F14-EF508B3AF807}"/>
    <hyperlink ref="N314" r:id="rId1294" xr:uid="{F81523BE-8363-4467-A03E-BD818FF4AC48}"/>
    <hyperlink ref="W314" r:id="rId1295" xr:uid="{7F9342F4-B6E9-4C61-9DB0-5C364E7303A3}"/>
    <hyperlink ref="U314" r:id="rId1296" xr:uid="{7540438E-928D-4AB3-8064-DC8E8B414F3E}"/>
    <hyperlink ref="Q300" r:id="rId1297" xr:uid="{255EC298-4FF7-4D6A-A0A9-F8CF1CD9C98D}"/>
    <hyperlink ref="N315" r:id="rId1298" xr:uid="{B7B1ED56-E65D-4C56-AA81-36356BBEDE80}"/>
    <hyperlink ref="W315" r:id="rId1299" xr:uid="{4D1A6829-BD5A-45E0-9871-B6A0CFA199D0}"/>
    <hyperlink ref="U315" r:id="rId1300" xr:uid="{9EA1148E-3F53-471B-8557-BB8FED2BC1CA}"/>
    <hyperlink ref="J315" r:id="rId1301" xr:uid="{1973804C-DEA1-4840-B659-D13911F46868}"/>
    <hyperlink ref="Q316" r:id="rId1302" xr:uid="{8ACBD2D6-171E-4414-A2E3-038A746C02FF}"/>
    <hyperlink ref="J316" r:id="rId1303" xr:uid="{6E28C545-7EC1-403B-8E80-558AD939C28D}"/>
    <hyperlink ref="U316" r:id="rId1304" xr:uid="{DC1F0673-00B2-46E8-8DA7-AF1CC28144F0}"/>
    <hyperlink ref="N317" r:id="rId1305" xr:uid="{13F02E62-96BC-436C-9C59-72294E3EE515}"/>
    <hyperlink ref="W317" r:id="rId1306" xr:uid="{61F6EC83-7036-4032-8459-D15B33C7FD43}"/>
    <hyperlink ref="U317" r:id="rId1307" xr:uid="{0EA04A3C-6104-45CF-9642-1510D86F5AF0}"/>
    <hyperlink ref="J317" r:id="rId1308" xr:uid="{8B7218AD-F6B0-4EDA-B439-F0771A733522}"/>
    <hyperlink ref="N318" r:id="rId1309" xr:uid="{A50C0E8D-6981-4EE6-8700-A35CE4257CD6}"/>
    <hyperlink ref="W318" r:id="rId1310" xr:uid="{0F58DD4C-BC6A-4451-9B0F-5357CA790956}"/>
    <hyperlink ref="U318" r:id="rId1311" xr:uid="{0B52B047-FB7E-4A3D-9519-8D904F1C58B6}"/>
    <hyperlink ref="J318" r:id="rId1312" xr:uid="{6343DF81-A715-41CE-A35C-2D921609E063}"/>
    <hyperlink ref="Q319" r:id="rId1313" xr:uid="{E10BD16A-4CC1-4014-8F69-7D22A84FFAAB}"/>
    <hyperlink ref="W319" r:id="rId1314" xr:uid="{D9B1D76D-C817-4516-8675-9A686248E4A2}"/>
    <hyperlink ref="U319" r:id="rId1315" xr:uid="{B5F24C60-D86E-467F-8743-DAC329D5D236}"/>
    <hyperlink ref="J319" r:id="rId1316" xr:uid="{3EAF6D99-7677-4F10-9AF5-C761E739BDE3}"/>
    <hyperlink ref="Q320" r:id="rId1317" xr:uid="{19A3AE7D-8CD5-4BBD-9F4D-6CA1D76A487D}"/>
    <hyperlink ref="J320" r:id="rId1318" xr:uid="{C0B348B0-9A15-421B-8471-BBC7FCA2931B}"/>
    <hyperlink ref="U320" r:id="rId1319" xr:uid="{81811CC1-D7EE-431B-BD76-9FE6463F7415}"/>
    <hyperlink ref="N321" r:id="rId1320" xr:uid="{385B3091-B49E-44F6-B28B-899D2CD7D2C9}"/>
    <hyperlink ref="W321" r:id="rId1321" xr:uid="{34EBD309-CD76-489F-B865-1CC47B97228D}"/>
    <hyperlink ref="U321" r:id="rId1322" xr:uid="{D2D63152-339C-4227-8E76-002A135BD46F}"/>
    <hyperlink ref="J321" r:id="rId1323" xr:uid="{CC54E75A-8BBF-4EFB-87C6-3CAD748CF949}"/>
    <hyperlink ref="Q321" r:id="rId1324" xr:uid="{DD14F757-9DB7-4829-958E-F619CBD91989}"/>
    <hyperlink ref="U322" r:id="rId1325" xr:uid="{9FD1CEB7-F0C0-4F48-B6D2-BD20E2D3541A}"/>
    <hyperlink ref="Q322" r:id="rId1326" xr:uid="{F2B4B76B-3389-486B-BAEF-BDD0148A88EC}"/>
    <hyperlink ref="J322" r:id="rId1327" xr:uid="{109BF275-73EE-4DF0-A04D-8C7746DE2445}"/>
    <hyperlink ref="N323" r:id="rId1328" xr:uid="{B17A46B6-2D10-4601-9254-E681BEBA73C1}"/>
    <hyperlink ref="U323" r:id="rId1329" xr:uid="{9D465A9C-7559-483D-8391-366F664CD6E6}"/>
    <hyperlink ref="J323" r:id="rId1330" xr:uid="{C8040887-DA7E-4EBD-AB1A-553FC2F6827E}"/>
    <hyperlink ref="J324" r:id="rId1331" xr:uid="{714C088A-9AD0-41E5-874B-7DBB1B98B0FB}"/>
    <hyperlink ref="U324" r:id="rId1332" xr:uid="{DC05733A-84E6-4DC4-83B8-86A7A6DBDA32}"/>
    <hyperlink ref="U325" r:id="rId1333" xr:uid="{249C70CB-3B7C-41D0-AF21-496A11CD4B2D}"/>
    <hyperlink ref="Q325" r:id="rId1334" xr:uid="{721B1316-A766-4399-8404-DD023CA66E52}"/>
    <hyperlink ref="N325" r:id="rId1335" xr:uid="{2238A7DF-47F0-4FA9-92AC-AC6B0F60D59C}"/>
    <hyperlink ref="J325" r:id="rId1336" xr:uid="{3EE172C4-6826-4C37-9806-5F8C8E00132F}"/>
    <hyperlink ref="U326" r:id="rId1337" xr:uid="{AE715A49-4B55-4ACB-AE1D-21FE1E4F7AF4}"/>
    <hyperlink ref="Q327" r:id="rId1338" xr:uid="{A34594AA-7A5F-4F14-8063-1B6F4409A9A7}"/>
    <hyperlink ref="J327" r:id="rId1339" xr:uid="{8550B11E-C780-4154-8D1D-808BC91E9CCC}"/>
    <hyperlink ref="U327" r:id="rId1340" xr:uid="{D9634A0B-EEA4-4504-B363-7FE2166EB58A}"/>
    <hyperlink ref="N327" r:id="rId1341" xr:uid="{8670FEEC-AF0D-4287-B19A-427351387BF8}"/>
    <hyperlink ref="U328" r:id="rId1342" xr:uid="{30CC4BBA-8336-4E89-A635-D06CE6494EC1}"/>
    <hyperlink ref="J328" r:id="rId1343" xr:uid="{8DBFDE5F-191F-4463-9E63-E56DB934BB11}"/>
    <hyperlink ref="N328" r:id="rId1344" xr:uid="{63BF142D-CAA3-4637-AB7A-B1F0938F5BA2}"/>
    <hyperlink ref="Q329" r:id="rId1345" xr:uid="{1EDC97C6-269D-49B9-9621-CB645FE5AFF2}"/>
    <hyperlink ref="J329" r:id="rId1346" xr:uid="{D3CA42FD-C0B0-422E-B6AA-E19CC0596049}"/>
    <hyperlink ref="N329" r:id="rId1347" xr:uid="{5ACD8AF6-F7E2-4ACF-9860-7AE6F4E567EE}"/>
    <hyperlink ref="U329" r:id="rId1348" xr:uid="{A3616B9E-83DA-4A63-B2E7-813E8DF93148}"/>
    <hyperlink ref="U330" r:id="rId1349" xr:uid="{1B83F916-1611-42E1-866A-D2F4061DD626}"/>
    <hyperlink ref="J330" r:id="rId1350" xr:uid="{4EF6F756-6225-4A42-96BD-1C471688D296}"/>
    <hyperlink ref="N330" r:id="rId1351" xr:uid="{CB28B8BB-4563-4A87-B73B-C6E751460303}"/>
    <hyperlink ref="Q331" r:id="rId1352" xr:uid="{B418B2DA-F9B4-42E4-9BF4-68DF26AD62DB}"/>
    <hyperlink ref="J331" r:id="rId1353" xr:uid="{789ABDF0-CC77-4C59-8678-D35E42BE4B47}"/>
    <hyperlink ref="U331" r:id="rId1354" xr:uid="{B2361D34-D221-48CE-AD99-A800CA748C97}"/>
    <hyperlink ref="J332" r:id="rId1355" xr:uid="{17E1B1A5-64ED-454F-991F-448909A42F9B}"/>
    <hyperlink ref="U332" r:id="rId1356" xr:uid="{AAD1F2BB-6FE9-4639-BF38-F05AC1EA5994}"/>
    <hyperlink ref="N332" r:id="rId1357" xr:uid="{2CE54EA0-BD99-42AF-BB92-7D5CAF47A24C}"/>
    <hyperlink ref="Q332" r:id="rId1358" xr:uid="{80EABE21-BE50-422A-BFE2-EF33271F7778}"/>
    <hyperlink ref="U333" r:id="rId1359" xr:uid="{30E0C510-E669-463C-B5DE-1351E3F98900}"/>
    <hyperlink ref="J333" r:id="rId1360" xr:uid="{0CDED867-5591-45DF-B0B3-78E0AB47883B}"/>
    <hyperlink ref="N333" r:id="rId1361" xr:uid="{31DA77F1-CF06-4A0C-9BD4-EF5D7886734A}"/>
    <hyperlink ref="Q333" r:id="rId1362" xr:uid="{4D136706-A145-4E68-B59B-7959496AB2BE}"/>
    <hyperlink ref="N334" r:id="rId1363" xr:uid="{E8D1BF4A-80A5-40BE-9DB6-6B2FB38EDF3F}"/>
    <hyperlink ref="U334" r:id="rId1364" xr:uid="{B6C88ED0-D273-4DC0-A08E-A3C6E10A9449}"/>
    <hyperlink ref="J334" r:id="rId1365" xr:uid="{9FC9E763-ADB4-4C80-BF1B-BE0BF1E4BD35}"/>
    <hyperlink ref="N335" r:id="rId1366" xr:uid="{95F012B8-7D76-44D4-AD33-FB048FC85DE3}"/>
    <hyperlink ref="Q335" r:id="rId1367" xr:uid="{B09E815E-CF6E-43CF-A634-F7B1FBB57E03}"/>
    <hyperlink ref="J335" r:id="rId1368" xr:uid="{98DF7CB6-E16F-4FE3-965F-2DA384A5B954}"/>
    <hyperlink ref="U335" r:id="rId1369" xr:uid="{57AA471F-12A7-4BA0-B9C9-BD64A39A42BF}"/>
    <hyperlink ref="N336" r:id="rId1370" xr:uid="{83E01225-2DA8-4DE8-9443-06D71061CA83}"/>
    <hyperlink ref="U336" r:id="rId1371" xr:uid="{E4EA85ED-C832-415B-AA18-968168A64237}"/>
    <hyperlink ref="J336" r:id="rId1372" xr:uid="{990EA515-F980-4EB9-8FE7-9CD46BF25722}"/>
    <hyperlink ref="J337" r:id="rId1373" xr:uid="{45D6124B-D08F-46C5-A06F-56A3550CE0F2}"/>
    <hyperlink ref="U337" r:id="rId1374" xr:uid="{8CE3FD70-277B-49C1-A06F-D4909CAC7C71}"/>
    <hyperlink ref="Q337" r:id="rId1375" xr:uid="{7DE0E305-CFAF-4438-8ED4-905D23B7144F}"/>
    <hyperlink ref="N337" r:id="rId1376" xr:uid="{AEB607E0-90CC-4146-AB18-609A456F97A3}"/>
    <hyperlink ref="U338" r:id="rId1377" xr:uid="{B3AD7183-A2C5-426A-9244-49319DFF173A}"/>
    <hyperlink ref="J338" r:id="rId1378" xr:uid="{325BB05A-3EF5-4643-985F-2CAA52E53135}"/>
    <hyperlink ref="W308" r:id="rId1379" xr:uid="{AB9CBB03-6A87-4C94-AF6C-106C4940AED4}"/>
    <hyperlink ref="W307" r:id="rId1380" xr:uid="{B4D3C857-738D-4B39-B6C3-FD3B32D7DC5A}"/>
    <hyperlink ref="W306" r:id="rId1381" xr:uid="{982F3AF7-58A7-4D65-AF48-2DB134E7F800}"/>
    <hyperlink ref="W305" r:id="rId1382" xr:uid="{7D24D320-E3A3-425C-8AAB-D659D354729D}"/>
    <hyperlink ref="W304" r:id="rId1383" xr:uid="{DEC3E23B-94FF-454E-8D41-72CB984942A8}"/>
    <hyperlink ref="W303" r:id="rId1384" xr:uid="{0C1C735D-D319-457A-B3CC-ABE8F40DA324}"/>
    <hyperlink ref="W302" r:id="rId1385" xr:uid="{947C3FA9-2CBB-4340-83C8-DC7A5B87AAE5}"/>
    <hyperlink ref="W301" r:id="rId1386" xr:uid="{DA2E2FEB-4DD1-41BF-8598-1AE8C209B641}"/>
    <hyperlink ref="W300" r:id="rId1387" xr:uid="{1B4AD3AA-C2F2-46F1-82C0-5E561554959D}"/>
    <hyperlink ref="W299" r:id="rId1388" xr:uid="{B77C0056-7D76-40FB-B6CE-AEFEE46C8BB9}"/>
    <hyperlink ref="W298" r:id="rId1389" xr:uid="{D09A9CB1-FB0D-4D27-A03E-A6D40178E4A4}"/>
    <hyperlink ref="W297" r:id="rId1390" xr:uid="{07420DD7-376A-438D-BD95-AB048CF12207}"/>
    <hyperlink ref="W296" r:id="rId1391" xr:uid="{746F58C9-C256-4FAF-8BCF-232222A9B29A}"/>
    <hyperlink ref="W295" r:id="rId1392" xr:uid="{BC2274C1-493A-49C6-9419-2DEBC924B0D1}"/>
    <hyperlink ref="W294" r:id="rId1393" xr:uid="{2CA0E20A-D9E9-4B2C-860A-41A92FC8DFA3}"/>
    <hyperlink ref="W322" r:id="rId1394" xr:uid="{E35547D2-AC4F-4E25-8BFA-96FDC5DB418E}"/>
    <hyperlink ref="W323" r:id="rId1395" xr:uid="{FBB86A8A-F2FC-4158-A057-A8C006688039}"/>
    <hyperlink ref="W324" r:id="rId1396" xr:uid="{B5387727-D376-40EE-A7B5-D74730A0753B}"/>
    <hyperlink ref="W325" r:id="rId1397" xr:uid="{0A31D280-04B9-45C6-A919-1EFF639DEDDF}"/>
    <hyperlink ref="W326" r:id="rId1398" xr:uid="{822246FD-E640-4869-B27B-966F6EF5BBC3}"/>
    <hyperlink ref="W327" r:id="rId1399" xr:uid="{CA74C3B4-DF79-49CE-ACAB-84838D28CFDF}"/>
    <hyperlink ref="W328" r:id="rId1400" xr:uid="{66F08B54-C00E-4891-9B46-49AF2B5F4603}"/>
    <hyperlink ref="W329" r:id="rId1401" xr:uid="{91B86F0E-FBA0-42C1-BB50-46F795495AEF}"/>
    <hyperlink ref="W330" r:id="rId1402" xr:uid="{EB63EC3E-2319-40AC-911F-DC0166C1E515}"/>
    <hyperlink ref="W331" r:id="rId1403" xr:uid="{EE1C2166-A031-49D0-9EF3-3B0906602436}"/>
    <hyperlink ref="W332" r:id="rId1404" xr:uid="{432E33B6-4EDE-4D8A-92CD-311B06DA7F74}"/>
    <hyperlink ref="W333" r:id="rId1405" xr:uid="{8DAD66F8-C42A-405F-94ED-4010FB61530D}"/>
    <hyperlink ref="W334" r:id="rId1406" xr:uid="{B44030AC-85DD-4E74-AC6D-80C5EC2F831E}"/>
    <hyperlink ref="W335" r:id="rId1407" xr:uid="{E5B71B97-873E-45B1-9977-C2C17293A578}"/>
    <hyperlink ref="W336" r:id="rId1408" xr:uid="{336A1C7B-C7D9-4835-926F-BE1EDEC35CBE}"/>
    <hyperlink ref="W337" r:id="rId1409" xr:uid="{FFC721FD-58ED-4F11-82F5-C7FABFCDE998}"/>
    <hyperlink ref="W338" r:id="rId1410" xr:uid="{94AB72A5-4DCA-462D-94CC-260FDE2D07A4}"/>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DB98B-6F1D-4313-A907-797DEB43F7DC}">
  <sheetPr codeName="Sheet6"/>
  <dimension ref="A4:B7"/>
  <sheetViews>
    <sheetView workbookViewId="0">
      <selection activeCell="E34" sqref="E34"/>
    </sheetView>
  </sheetViews>
  <sheetFormatPr defaultRowHeight="14.4" x14ac:dyDescent="0.3"/>
  <cols>
    <col min="1" max="1" width="12.5546875" bestFit="1" customWidth="1"/>
    <col min="2" max="2" width="14.109375" bestFit="1" customWidth="1"/>
    <col min="3" max="3" width="4" bestFit="1" customWidth="1"/>
    <col min="4" max="6" width="10.77734375" bestFit="1" customWidth="1"/>
    <col min="7" max="7" width="14.44140625" bestFit="1" customWidth="1"/>
    <col min="8" max="8" width="19.6640625" bestFit="1" customWidth="1"/>
    <col min="9" max="9" width="18" bestFit="1" customWidth="1"/>
    <col min="10" max="10" width="12.109375" bestFit="1" customWidth="1"/>
    <col min="11" max="11" width="12.5546875" bestFit="1" customWidth="1"/>
    <col min="12" max="12" width="18.77734375" bestFit="1" customWidth="1"/>
    <col min="13" max="13" width="23.21875" bestFit="1" customWidth="1"/>
    <col min="14" max="14" width="8.33203125" bestFit="1" customWidth="1"/>
    <col min="15" max="15" width="10.77734375" bestFit="1" customWidth="1"/>
  </cols>
  <sheetData>
    <row r="4" spans="1:2" x14ac:dyDescent="0.3">
      <c r="A4" s="75" t="s">
        <v>2491</v>
      </c>
      <c r="B4" t="s">
        <v>2493</v>
      </c>
    </row>
    <row r="5" spans="1:2" x14ac:dyDescent="0.3">
      <c r="A5" s="76" t="s">
        <v>2494</v>
      </c>
      <c r="B5">
        <v>4</v>
      </c>
    </row>
    <row r="6" spans="1:2" x14ac:dyDescent="0.3">
      <c r="A6" s="76" t="s">
        <v>2495</v>
      </c>
      <c r="B6">
        <v>7</v>
      </c>
    </row>
    <row r="7" spans="1:2" x14ac:dyDescent="0.3">
      <c r="A7" s="76" t="s">
        <v>2492</v>
      </c>
      <c r="B7">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7E61A-AD1E-4FE8-ACE3-A19C931A77BA}">
  <sheetPr codeName="Sheet4"/>
  <dimension ref="A4:D8"/>
  <sheetViews>
    <sheetView topLeftCell="B1" workbookViewId="0">
      <selection activeCell="A4" sqref="A4:D12"/>
    </sheetView>
  </sheetViews>
  <sheetFormatPr defaultRowHeight="14.4" x14ac:dyDescent="0.3"/>
  <cols>
    <col min="1" max="1" width="14.109375" bestFit="1" customWidth="1"/>
    <col min="2" max="2" width="15.5546875" bestFit="1" customWidth="1"/>
    <col min="3" max="3" width="6.109375" bestFit="1" customWidth="1"/>
    <col min="4" max="6" width="10.77734375" bestFit="1" customWidth="1"/>
    <col min="7" max="7" width="14.44140625" bestFit="1" customWidth="1"/>
    <col min="8" max="8" width="19.6640625" bestFit="1" customWidth="1"/>
    <col min="9" max="9" width="18" bestFit="1" customWidth="1"/>
    <col min="10" max="10" width="12.109375" bestFit="1" customWidth="1"/>
    <col min="11" max="11" width="12.5546875" bestFit="1" customWidth="1"/>
    <col min="12" max="12" width="18.77734375" bestFit="1" customWidth="1"/>
    <col min="13" max="13" width="23.21875" bestFit="1" customWidth="1"/>
    <col min="14" max="14" width="8.33203125" bestFit="1" customWidth="1"/>
    <col min="15" max="15" width="10.77734375" bestFit="1" customWidth="1"/>
  </cols>
  <sheetData>
    <row r="4" spans="1:4" x14ac:dyDescent="0.3">
      <c r="A4" s="75" t="s">
        <v>2493</v>
      </c>
      <c r="B4" s="75" t="s">
        <v>2496</v>
      </c>
    </row>
    <row r="5" spans="1:4" x14ac:dyDescent="0.3">
      <c r="A5" s="75" t="s">
        <v>2491</v>
      </c>
      <c r="B5" t="s">
        <v>2494</v>
      </c>
      <c r="C5" t="s">
        <v>2495</v>
      </c>
      <c r="D5" t="s">
        <v>2492</v>
      </c>
    </row>
    <row r="6" spans="1:4" x14ac:dyDescent="0.3">
      <c r="A6" s="76" t="s">
        <v>2501</v>
      </c>
      <c r="B6">
        <v>4</v>
      </c>
      <c r="C6">
        <v>7</v>
      </c>
      <c r="D6">
        <v>11</v>
      </c>
    </row>
    <row r="7" spans="1:4" x14ac:dyDescent="0.3">
      <c r="A7" s="77" t="s">
        <v>2500</v>
      </c>
      <c r="B7">
        <v>4</v>
      </c>
      <c r="C7">
        <v>7</v>
      </c>
      <c r="D7">
        <v>11</v>
      </c>
    </row>
    <row r="8" spans="1:4" x14ac:dyDescent="0.3">
      <c r="A8" s="76" t="s">
        <v>2492</v>
      </c>
      <c r="B8">
        <v>4</v>
      </c>
      <c r="C8">
        <v>7</v>
      </c>
      <c r="D8">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B9AE6-D054-4A77-ABC5-776FEF6EE227}">
  <dimension ref="A3:D16"/>
  <sheetViews>
    <sheetView workbookViewId="0">
      <selection activeCell="I71" sqref="I71"/>
    </sheetView>
  </sheetViews>
  <sheetFormatPr defaultRowHeight="14.4" x14ac:dyDescent="0.3"/>
  <cols>
    <col min="1" max="1" width="32" bestFit="1" customWidth="1"/>
    <col min="2" max="2" width="15.5546875" bestFit="1" customWidth="1"/>
    <col min="3" max="3" width="6.109375" bestFit="1" customWidth="1"/>
    <col min="4" max="6" width="10.77734375" bestFit="1" customWidth="1"/>
  </cols>
  <sheetData>
    <row r="3" spans="1:4" x14ac:dyDescent="0.3">
      <c r="A3" s="75" t="s">
        <v>2493</v>
      </c>
      <c r="B3" s="75" t="s">
        <v>2496</v>
      </c>
    </row>
    <row r="4" spans="1:4" x14ac:dyDescent="0.3">
      <c r="A4" s="75" t="s">
        <v>2491</v>
      </c>
      <c r="B4" t="s">
        <v>2494</v>
      </c>
      <c r="C4" t="s">
        <v>2495</v>
      </c>
      <c r="D4" t="s">
        <v>2492</v>
      </c>
    </row>
    <row r="5" spans="1:4" x14ac:dyDescent="0.3">
      <c r="A5" s="76" t="s">
        <v>86</v>
      </c>
      <c r="C5">
        <v>1</v>
      </c>
      <c r="D5">
        <v>1</v>
      </c>
    </row>
    <row r="6" spans="1:4" x14ac:dyDescent="0.3">
      <c r="A6" s="76" t="s">
        <v>379</v>
      </c>
      <c r="C6">
        <v>1</v>
      </c>
      <c r="D6">
        <v>1</v>
      </c>
    </row>
    <row r="7" spans="1:4" x14ac:dyDescent="0.3">
      <c r="A7" s="76" t="s">
        <v>34</v>
      </c>
      <c r="B7">
        <v>1</v>
      </c>
      <c r="D7">
        <v>1</v>
      </c>
    </row>
    <row r="8" spans="1:4" x14ac:dyDescent="0.3">
      <c r="A8" s="76" t="s">
        <v>215</v>
      </c>
      <c r="B8">
        <v>1</v>
      </c>
      <c r="D8">
        <v>1</v>
      </c>
    </row>
    <row r="9" spans="1:4" x14ac:dyDescent="0.3">
      <c r="A9" s="76" t="s">
        <v>155</v>
      </c>
      <c r="C9">
        <v>1</v>
      </c>
      <c r="D9">
        <v>1</v>
      </c>
    </row>
    <row r="10" spans="1:4" x14ac:dyDescent="0.3">
      <c r="A10" s="76" t="s">
        <v>204</v>
      </c>
      <c r="B10">
        <v>1</v>
      </c>
      <c r="D10">
        <v>1</v>
      </c>
    </row>
    <row r="11" spans="1:4" x14ac:dyDescent="0.3">
      <c r="A11" s="76" t="s">
        <v>291</v>
      </c>
      <c r="C11">
        <v>1</v>
      </c>
      <c r="D11">
        <v>1</v>
      </c>
    </row>
    <row r="12" spans="1:4" x14ac:dyDescent="0.3">
      <c r="A12" s="76" t="s">
        <v>311</v>
      </c>
      <c r="C12">
        <v>1</v>
      </c>
      <c r="D12">
        <v>1</v>
      </c>
    </row>
    <row r="13" spans="1:4" x14ac:dyDescent="0.3">
      <c r="A13" s="76" t="s">
        <v>402</v>
      </c>
      <c r="B13">
        <v>1</v>
      </c>
      <c r="D13">
        <v>1</v>
      </c>
    </row>
    <row r="14" spans="1:4" x14ac:dyDescent="0.3">
      <c r="A14" s="76" t="s">
        <v>105</v>
      </c>
      <c r="C14">
        <v>1</v>
      </c>
      <c r="D14">
        <v>1</v>
      </c>
    </row>
    <row r="15" spans="1:4" x14ac:dyDescent="0.3">
      <c r="A15" s="76" t="s">
        <v>2616</v>
      </c>
      <c r="C15">
        <v>1</v>
      </c>
      <c r="D15">
        <v>1</v>
      </c>
    </row>
    <row r="16" spans="1:4" x14ac:dyDescent="0.3">
      <c r="A16" s="76" t="s">
        <v>2492</v>
      </c>
      <c r="B16">
        <v>4</v>
      </c>
      <c r="C16">
        <v>7</v>
      </c>
      <c r="D16">
        <v>11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D5118-E27E-4AC5-AAC8-A697572A4995}">
  <dimension ref="A1:B8"/>
  <sheetViews>
    <sheetView workbookViewId="0">
      <selection activeCell="K14" sqref="K14"/>
    </sheetView>
  </sheetViews>
  <sheetFormatPr defaultRowHeight="14.4" x14ac:dyDescent="0.3"/>
  <cols>
    <col min="1" max="1" width="18.44140625" bestFit="1" customWidth="1"/>
    <col min="2" max="2" width="16.109375" bestFit="1" customWidth="1"/>
    <col min="3" max="3" width="4" bestFit="1" customWidth="1"/>
    <col min="4" max="4" width="6.109375" bestFit="1" customWidth="1"/>
    <col min="5" max="5" width="10.77734375" bestFit="1" customWidth="1"/>
    <col min="6" max="6" width="18" bestFit="1" customWidth="1"/>
    <col min="7" max="7" width="12.5546875" bestFit="1" customWidth="1"/>
    <col min="8" max="8" width="18.77734375" bestFit="1" customWidth="1"/>
    <col min="9" max="9" width="8.33203125" bestFit="1" customWidth="1"/>
    <col min="10" max="10" width="10.77734375" bestFit="1" customWidth="1"/>
    <col min="11" max="11" width="12.5546875" bestFit="1" customWidth="1"/>
    <col min="12" max="12" width="18.77734375" bestFit="1" customWidth="1"/>
    <col min="13" max="13" width="23.21875" bestFit="1" customWidth="1"/>
    <col min="14" max="14" width="8.33203125" bestFit="1" customWidth="1"/>
    <col min="15" max="15" width="10.77734375" bestFit="1" customWidth="1"/>
  </cols>
  <sheetData>
    <row r="1" spans="1:2" x14ac:dyDescent="0.3">
      <c r="A1" s="75" t="s">
        <v>14</v>
      </c>
      <c r="B1" t="s">
        <v>2621</v>
      </c>
    </row>
    <row r="3" spans="1:2" x14ac:dyDescent="0.3">
      <c r="A3" s="75" t="s">
        <v>2491</v>
      </c>
      <c r="B3" t="s">
        <v>2493</v>
      </c>
    </row>
    <row r="4" spans="1:2" x14ac:dyDescent="0.3">
      <c r="A4" s="76" t="s">
        <v>2617</v>
      </c>
      <c r="B4">
        <v>1</v>
      </c>
    </row>
    <row r="5" spans="1:2" x14ac:dyDescent="0.3">
      <c r="A5" s="76" t="s">
        <v>2618</v>
      </c>
      <c r="B5">
        <v>4</v>
      </c>
    </row>
    <row r="6" spans="1:2" x14ac:dyDescent="0.3">
      <c r="A6" s="76" t="s">
        <v>2619</v>
      </c>
      <c r="B6">
        <v>2</v>
      </c>
    </row>
    <row r="7" spans="1:2" x14ac:dyDescent="0.3">
      <c r="A7" s="76" t="s">
        <v>2620</v>
      </c>
      <c r="B7">
        <v>4</v>
      </c>
    </row>
    <row r="8" spans="1:2" x14ac:dyDescent="0.3">
      <c r="A8" s="76" t="s">
        <v>2492</v>
      </c>
      <c r="B8">
        <v>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57628-7F10-41E3-9AE6-284043C4DFB3}">
  <dimension ref="A1:B9"/>
  <sheetViews>
    <sheetView workbookViewId="0">
      <selection activeCell="L15" sqref="L15"/>
    </sheetView>
  </sheetViews>
  <sheetFormatPr defaultRowHeight="14.4" x14ac:dyDescent="0.3"/>
  <cols>
    <col min="1" max="1" width="12.5546875" bestFit="1" customWidth="1"/>
    <col min="2" max="2" width="16.109375" bestFit="1" customWidth="1"/>
    <col min="3" max="3" width="4" bestFit="1" customWidth="1"/>
    <col min="4" max="4" width="6.109375" bestFit="1" customWidth="1"/>
    <col min="5" max="5" width="10.77734375" bestFit="1" customWidth="1"/>
    <col min="6" max="6" width="18" bestFit="1" customWidth="1"/>
    <col min="7" max="7" width="12.5546875" bestFit="1" customWidth="1"/>
    <col min="8" max="8" width="18.77734375" bestFit="1" customWidth="1"/>
    <col min="9" max="9" width="8.33203125" bestFit="1" customWidth="1"/>
    <col min="10" max="10" width="10.77734375" bestFit="1" customWidth="1"/>
    <col min="11" max="11" width="12.5546875" bestFit="1" customWidth="1"/>
    <col min="12" max="12" width="18.77734375" bestFit="1" customWidth="1"/>
    <col min="13" max="13" width="23.21875" bestFit="1" customWidth="1"/>
    <col min="14" max="14" width="8.33203125" bestFit="1" customWidth="1"/>
    <col min="15" max="15" width="10.77734375" bestFit="1" customWidth="1"/>
  </cols>
  <sheetData>
    <row r="1" spans="1:2" x14ac:dyDescent="0.3">
      <c r="A1" s="75" t="s">
        <v>14</v>
      </c>
      <c r="B1" t="s">
        <v>2621</v>
      </c>
    </row>
    <row r="3" spans="1:2" x14ac:dyDescent="0.3">
      <c r="A3" s="75" t="s">
        <v>2491</v>
      </c>
      <c r="B3" t="s">
        <v>2493</v>
      </c>
    </row>
    <row r="4" spans="1:2" x14ac:dyDescent="0.3">
      <c r="A4" s="76" t="s">
        <v>17</v>
      </c>
      <c r="B4">
        <v>3</v>
      </c>
    </row>
    <row r="5" spans="1:2" x14ac:dyDescent="0.3">
      <c r="A5" s="76" t="s">
        <v>202</v>
      </c>
      <c r="B5">
        <v>1</v>
      </c>
    </row>
    <row r="6" spans="1:2" x14ac:dyDescent="0.3">
      <c r="A6" s="76" t="s">
        <v>32</v>
      </c>
      <c r="B6">
        <v>5</v>
      </c>
    </row>
    <row r="7" spans="1:2" x14ac:dyDescent="0.3">
      <c r="A7" s="76" t="s">
        <v>181</v>
      </c>
      <c r="B7">
        <v>1</v>
      </c>
    </row>
    <row r="8" spans="1:2" x14ac:dyDescent="0.3">
      <c r="A8" s="76" t="s">
        <v>26</v>
      </c>
      <c r="B8">
        <v>1</v>
      </c>
    </row>
    <row r="9" spans="1:2" x14ac:dyDescent="0.3">
      <c r="A9" s="76" t="s">
        <v>2492</v>
      </c>
      <c r="B9">
        <v>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9BC5C-6DDE-4B18-9E84-0F3154C447EF}">
  <dimension ref="A1:E10"/>
  <sheetViews>
    <sheetView workbookViewId="0">
      <selection sqref="A1:E27"/>
    </sheetView>
  </sheetViews>
  <sheetFormatPr defaultRowHeight="14.4" x14ac:dyDescent="0.3"/>
  <cols>
    <col min="1" max="1" width="14.109375" bestFit="1" customWidth="1"/>
    <col min="2" max="2" width="16.109375" bestFit="1" customWidth="1"/>
    <col min="3" max="3" width="7.21875" bestFit="1" customWidth="1"/>
    <col min="4" max="4" width="7.5546875" bestFit="1" customWidth="1"/>
    <col min="5" max="5" width="10.77734375" bestFit="1" customWidth="1"/>
    <col min="6" max="6" width="18" bestFit="1" customWidth="1"/>
    <col min="7" max="7" width="12.5546875" bestFit="1" customWidth="1"/>
    <col min="8" max="8" width="18.77734375" bestFit="1" customWidth="1"/>
    <col min="9" max="9" width="8.33203125" bestFit="1" customWidth="1"/>
    <col min="10" max="10" width="10.77734375" bestFit="1" customWidth="1"/>
    <col min="11" max="11" width="12.5546875" bestFit="1" customWidth="1"/>
    <col min="12" max="12" width="18.77734375" bestFit="1" customWidth="1"/>
    <col min="13" max="13" width="23.21875" bestFit="1" customWidth="1"/>
    <col min="14" max="14" width="8.33203125" bestFit="1" customWidth="1"/>
    <col min="15" max="15" width="10.77734375" bestFit="1" customWidth="1"/>
  </cols>
  <sheetData>
    <row r="1" spans="1:5" x14ac:dyDescent="0.3">
      <c r="A1" s="75" t="s">
        <v>14</v>
      </c>
      <c r="B1" t="s">
        <v>2621</v>
      </c>
    </row>
    <row r="3" spans="1:5" x14ac:dyDescent="0.3">
      <c r="A3" s="75" t="s">
        <v>2493</v>
      </c>
      <c r="B3" s="75" t="s">
        <v>2496</v>
      </c>
    </row>
    <row r="4" spans="1:5" x14ac:dyDescent="0.3">
      <c r="A4" s="75" t="s">
        <v>2491</v>
      </c>
      <c r="B4" t="s">
        <v>2622</v>
      </c>
      <c r="C4" t="s">
        <v>2623</v>
      </c>
      <c r="D4" t="s">
        <v>2624</v>
      </c>
      <c r="E4" t="s">
        <v>2492</v>
      </c>
    </row>
    <row r="5" spans="1:5" x14ac:dyDescent="0.3">
      <c r="A5" s="76" t="s">
        <v>17</v>
      </c>
      <c r="C5">
        <v>2</v>
      </c>
      <c r="D5">
        <v>1</v>
      </c>
      <c r="E5">
        <v>3</v>
      </c>
    </row>
    <row r="6" spans="1:5" x14ac:dyDescent="0.3">
      <c r="A6" s="76" t="s">
        <v>202</v>
      </c>
      <c r="B6">
        <v>1</v>
      </c>
      <c r="E6">
        <v>1</v>
      </c>
    </row>
    <row r="7" spans="1:5" x14ac:dyDescent="0.3">
      <c r="A7" s="76" t="s">
        <v>32</v>
      </c>
      <c r="C7">
        <v>2</v>
      </c>
      <c r="D7">
        <v>3</v>
      </c>
      <c r="E7">
        <v>5</v>
      </c>
    </row>
    <row r="8" spans="1:5" x14ac:dyDescent="0.3">
      <c r="A8" s="76" t="s">
        <v>181</v>
      </c>
      <c r="B8">
        <v>1</v>
      </c>
      <c r="E8">
        <v>1</v>
      </c>
    </row>
    <row r="9" spans="1:5" x14ac:dyDescent="0.3">
      <c r="A9" s="76" t="s">
        <v>26</v>
      </c>
      <c r="C9">
        <v>1</v>
      </c>
      <c r="E9">
        <v>1</v>
      </c>
    </row>
    <row r="10" spans="1:5" x14ac:dyDescent="0.3">
      <c r="A10" s="76" t="s">
        <v>2492</v>
      </c>
      <c r="B10">
        <v>2</v>
      </c>
      <c r="C10">
        <v>5</v>
      </c>
      <c r="D10">
        <v>4</v>
      </c>
      <c r="E10">
        <v>11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A5AF1-247A-4D9B-90C2-6D7A83CA6016}">
  <sheetPr codeName="Sheet5"/>
  <dimension ref="B10:B22"/>
  <sheetViews>
    <sheetView zoomScaleNormal="100" workbookViewId="0">
      <selection activeCell="E27" sqref="E27"/>
    </sheetView>
  </sheetViews>
  <sheetFormatPr defaultRowHeight="14.4" x14ac:dyDescent="0.3"/>
  <cols>
    <col min="1" max="1" width="34.88671875" bestFit="1" customWidth="1"/>
    <col min="2" max="2" width="23.21875" bestFit="1" customWidth="1"/>
    <col min="3" max="3" width="14.109375" bestFit="1" customWidth="1"/>
    <col min="4" max="4" width="10.77734375" bestFit="1" customWidth="1"/>
    <col min="5" max="5" width="35.44140625" bestFit="1" customWidth="1"/>
    <col min="6" max="32" width="27.21875" bestFit="1" customWidth="1"/>
    <col min="33" max="33" width="9.44140625" bestFit="1" customWidth="1"/>
    <col min="34" max="57" width="36.33203125" bestFit="1" customWidth="1"/>
    <col min="58" max="58" width="8.6640625" bestFit="1" customWidth="1"/>
    <col min="59" max="59" width="10.77734375" bestFit="1" customWidth="1"/>
  </cols>
  <sheetData>
    <row r="10" spans="2:2" x14ac:dyDescent="0.3">
      <c r="B10" s="75" t="s">
        <v>2491</v>
      </c>
    </row>
    <row r="11" spans="2:2" x14ac:dyDescent="0.3">
      <c r="B11" s="76" t="s">
        <v>401</v>
      </c>
    </row>
    <row r="12" spans="2:2" x14ac:dyDescent="0.3">
      <c r="B12" s="76" t="s">
        <v>104</v>
      </c>
    </row>
    <row r="13" spans="2:2" x14ac:dyDescent="0.3">
      <c r="B13" s="76" t="s">
        <v>251</v>
      </c>
    </row>
    <row r="14" spans="2:2" x14ac:dyDescent="0.3">
      <c r="B14" s="76" t="s">
        <v>361</v>
      </c>
    </row>
    <row r="15" spans="2:2" x14ac:dyDescent="0.3">
      <c r="B15" s="76" t="s">
        <v>290</v>
      </c>
    </row>
    <row r="16" spans="2:2" x14ac:dyDescent="0.3">
      <c r="B16" s="76" t="s">
        <v>203</v>
      </c>
    </row>
    <row r="17" spans="2:2" x14ac:dyDescent="0.3">
      <c r="B17" s="76" t="s">
        <v>85</v>
      </c>
    </row>
    <row r="18" spans="2:2" x14ac:dyDescent="0.3">
      <c r="B18" s="76" t="s">
        <v>378</v>
      </c>
    </row>
    <row r="19" spans="2:2" x14ac:dyDescent="0.3">
      <c r="B19" s="76" t="s">
        <v>182</v>
      </c>
    </row>
    <row r="20" spans="2:2" x14ac:dyDescent="0.3">
      <c r="B20" s="76" t="s">
        <v>310</v>
      </c>
    </row>
    <row r="21" spans="2:2" x14ac:dyDescent="0.3">
      <c r="B21" s="76" t="s">
        <v>127</v>
      </c>
    </row>
    <row r="22" spans="2:2" x14ac:dyDescent="0.3">
      <c r="B22" s="76" t="s">
        <v>2492</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B3893-82EF-43BA-9DB7-07FCADAE45A7}">
  <sheetPr codeName="Sheet3"/>
  <dimension ref="A1:V29"/>
  <sheetViews>
    <sheetView topLeftCell="D4" workbookViewId="0">
      <selection activeCell="F31" sqref="F31"/>
    </sheetView>
  </sheetViews>
  <sheetFormatPr defaultRowHeight="14.4" x14ac:dyDescent="0.3"/>
  <cols>
    <col min="1" max="1" width="12.5546875" bestFit="1" customWidth="1"/>
    <col min="2" max="2" width="14.109375" bestFit="1" customWidth="1"/>
    <col min="5" max="5" width="34.21875" bestFit="1" customWidth="1"/>
    <col min="6" max="6" width="14.109375" bestFit="1" customWidth="1"/>
  </cols>
  <sheetData>
    <row r="1" spans="1:22" x14ac:dyDescent="0.3">
      <c r="A1" s="82"/>
      <c r="B1" s="83"/>
      <c r="C1" s="83"/>
      <c r="D1" s="83"/>
      <c r="E1" s="83"/>
      <c r="F1" s="83"/>
      <c r="G1" s="83"/>
      <c r="H1" s="83"/>
      <c r="I1" s="83"/>
      <c r="J1" s="83"/>
      <c r="K1" s="83"/>
      <c r="L1" s="83"/>
      <c r="M1" s="83"/>
      <c r="N1" s="83"/>
      <c r="O1" s="83"/>
      <c r="P1" s="83"/>
      <c r="Q1" s="83"/>
      <c r="R1" s="83"/>
      <c r="S1" s="83"/>
      <c r="T1" s="83"/>
      <c r="U1" s="83"/>
      <c r="V1" s="84"/>
    </row>
    <row r="2" spans="1:22" x14ac:dyDescent="0.3">
      <c r="A2" s="85"/>
      <c r="B2" s="54"/>
      <c r="C2" s="54"/>
      <c r="D2" s="54"/>
      <c r="E2" s="54"/>
      <c r="F2" s="54"/>
      <c r="G2" s="54"/>
      <c r="H2" s="54"/>
      <c r="I2" s="54"/>
      <c r="J2" s="54"/>
      <c r="K2" s="54"/>
      <c r="L2" s="54"/>
      <c r="M2" s="54"/>
      <c r="N2" s="54"/>
      <c r="O2" s="54"/>
      <c r="P2" s="54"/>
      <c r="Q2" s="54"/>
      <c r="R2" s="54"/>
      <c r="S2" s="54"/>
      <c r="T2" s="54"/>
      <c r="U2" s="54"/>
      <c r="V2" s="86"/>
    </row>
    <row r="3" spans="1:22" x14ac:dyDescent="0.3">
      <c r="A3" s="85"/>
      <c r="B3" s="54"/>
      <c r="C3" s="54"/>
      <c r="D3" s="54"/>
      <c r="E3" s="54"/>
      <c r="F3" s="54"/>
      <c r="G3" s="54"/>
      <c r="H3" s="54"/>
      <c r="I3" s="54"/>
      <c r="J3" s="54"/>
      <c r="K3" s="54"/>
      <c r="L3" s="54"/>
      <c r="M3" s="54"/>
      <c r="N3" s="54"/>
      <c r="O3" s="54"/>
      <c r="P3" s="54"/>
      <c r="Q3" s="54"/>
      <c r="R3" s="54"/>
      <c r="S3" s="54"/>
      <c r="T3" s="54"/>
      <c r="U3" s="54"/>
      <c r="V3" s="86"/>
    </row>
    <row r="4" spans="1:22" x14ac:dyDescent="0.3">
      <c r="A4" s="85"/>
      <c r="B4" s="54"/>
      <c r="C4" s="54"/>
      <c r="D4" s="54"/>
      <c r="E4" s="54"/>
      <c r="F4" s="54"/>
      <c r="G4" s="54"/>
      <c r="H4" s="54"/>
      <c r="I4" s="54"/>
      <c r="J4" s="54"/>
      <c r="K4" s="54"/>
      <c r="L4" s="54"/>
      <c r="M4" s="54"/>
      <c r="N4" s="54"/>
      <c r="O4" s="54"/>
      <c r="P4" s="54"/>
      <c r="Q4" s="54"/>
      <c r="R4" s="54"/>
      <c r="S4" s="54"/>
      <c r="T4" s="54"/>
      <c r="U4" s="54"/>
      <c r="V4" s="86"/>
    </row>
    <row r="5" spans="1:22" x14ac:dyDescent="0.3">
      <c r="A5" s="85"/>
      <c r="B5" s="54"/>
      <c r="C5" s="54"/>
      <c r="D5" s="54"/>
      <c r="E5" s="54"/>
      <c r="F5" s="54"/>
      <c r="G5" s="54"/>
      <c r="H5" s="54"/>
      <c r="I5" s="54"/>
      <c r="J5" s="54"/>
      <c r="K5" s="54"/>
      <c r="L5" s="54"/>
      <c r="M5" s="54"/>
      <c r="N5" s="54"/>
      <c r="O5" s="54"/>
      <c r="P5" s="54"/>
      <c r="Q5" s="54"/>
      <c r="R5" s="54"/>
      <c r="S5" s="54"/>
      <c r="T5" s="54"/>
      <c r="U5" s="54"/>
      <c r="V5" s="86"/>
    </row>
    <row r="6" spans="1:22" x14ac:dyDescent="0.3">
      <c r="A6" s="85"/>
      <c r="B6" s="54"/>
      <c r="C6" s="54"/>
      <c r="D6" s="54"/>
      <c r="E6" s="54"/>
      <c r="F6" s="54"/>
      <c r="G6" s="54"/>
      <c r="H6" s="54"/>
      <c r="I6" s="54"/>
      <c r="J6" s="54"/>
      <c r="K6" s="54"/>
      <c r="L6" s="54"/>
      <c r="M6" s="54"/>
      <c r="N6" s="54"/>
      <c r="O6" s="54"/>
      <c r="P6" s="54"/>
      <c r="Q6" s="54"/>
      <c r="R6" s="54"/>
      <c r="S6" s="54"/>
      <c r="T6" s="54"/>
      <c r="U6" s="54"/>
      <c r="V6" s="86"/>
    </row>
    <row r="7" spans="1:22" x14ac:dyDescent="0.3">
      <c r="A7" s="85"/>
      <c r="B7" s="54"/>
      <c r="C7" s="54"/>
      <c r="D7" s="54"/>
      <c r="E7" s="54"/>
      <c r="F7" s="54"/>
      <c r="G7" s="54"/>
      <c r="H7" s="54"/>
      <c r="I7" s="54"/>
      <c r="J7" s="54"/>
      <c r="K7" s="54"/>
      <c r="L7" s="54"/>
      <c r="M7" s="54"/>
      <c r="N7" s="54"/>
      <c r="O7" s="54"/>
      <c r="P7" s="54"/>
      <c r="Q7" s="54"/>
      <c r="R7" s="54"/>
      <c r="S7" s="54"/>
      <c r="T7" s="54"/>
      <c r="U7" s="54"/>
      <c r="V7" s="86"/>
    </row>
    <row r="8" spans="1:22" x14ac:dyDescent="0.3">
      <c r="A8" s="85"/>
      <c r="B8" s="54"/>
      <c r="C8" s="54"/>
      <c r="D8" s="54"/>
      <c r="E8" s="54"/>
      <c r="F8" s="54"/>
      <c r="G8" s="54"/>
      <c r="H8" s="54"/>
      <c r="I8" s="54"/>
      <c r="J8" s="54"/>
      <c r="K8" s="54"/>
      <c r="L8" s="54"/>
      <c r="M8" s="54"/>
      <c r="N8" s="54"/>
      <c r="O8" s="54"/>
      <c r="P8" s="54"/>
      <c r="Q8" s="54"/>
      <c r="R8" s="54"/>
      <c r="S8" s="54"/>
      <c r="T8" s="54"/>
      <c r="U8" s="54"/>
      <c r="V8" s="86"/>
    </row>
    <row r="9" spans="1:22" x14ac:dyDescent="0.3">
      <c r="A9" s="85"/>
      <c r="B9" s="54"/>
      <c r="C9" s="54"/>
      <c r="D9" s="54"/>
      <c r="E9" s="54"/>
      <c r="F9" s="54"/>
      <c r="G9" s="54"/>
      <c r="H9" s="54"/>
      <c r="I9" s="54"/>
      <c r="J9" s="54"/>
      <c r="K9" s="54"/>
      <c r="L9" s="54"/>
      <c r="M9" s="54"/>
      <c r="N9" s="54"/>
      <c r="O9" s="54"/>
      <c r="P9" s="54"/>
      <c r="Q9" s="54"/>
      <c r="R9" s="54"/>
      <c r="S9" s="54"/>
      <c r="T9" s="54"/>
      <c r="U9" s="54"/>
      <c r="V9" s="86"/>
    </row>
    <row r="10" spans="1:22" x14ac:dyDescent="0.3">
      <c r="A10" s="85"/>
      <c r="B10" s="54"/>
      <c r="C10" s="54"/>
      <c r="D10" s="54"/>
      <c r="E10" s="54"/>
      <c r="F10" s="54"/>
      <c r="G10" s="54"/>
      <c r="H10" s="54"/>
      <c r="I10" s="54"/>
      <c r="J10" s="54"/>
      <c r="K10" s="54"/>
      <c r="L10" s="54"/>
      <c r="M10" s="54"/>
      <c r="N10" s="54"/>
      <c r="O10" s="54"/>
      <c r="P10" s="54"/>
      <c r="Q10" s="54"/>
      <c r="R10" s="54"/>
      <c r="S10" s="54"/>
      <c r="T10" s="54"/>
      <c r="U10" s="54"/>
      <c r="V10" s="86"/>
    </row>
    <row r="11" spans="1:22" x14ac:dyDescent="0.3">
      <c r="A11" s="85"/>
      <c r="B11" s="54"/>
      <c r="C11" s="54"/>
      <c r="D11" s="54"/>
      <c r="E11" s="54"/>
      <c r="F11" s="54"/>
      <c r="G11" s="54"/>
      <c r="H11" s="54"/>
      <c r="I11" s="54"/>
      <c r="J11" s="54"/>
      <c r="K11" s="54"/>
      <c r="L11" s="54"/>
      <c r="M11" s="54"/>
      <c r="N11" s="54"/>
      <c r="O11" s="54"/>
      <c r="P11" s="54"/>
      <c r="Q11" s="54"/>
      <c r="R11" s="54"/>
      <c r="S11" s="54"/>
      <c r="T11" s="54"/>
      <c r="U11" s="54"/>
      <c r="V11" s="86"/>
    </row>
    <row r="12" spans="1:22" x14ac:dyDescent="0.3">
      <c r="A12" s="85"/>
      <c r="B12" s="54"/>
      <c r="C12" s="54"/>
      <c r="D12" s="54"/>
      <c r="E12" s="54"/>
      <c r="F12" s="54"/>
      <c r="G12" s="54"/>
      <c r="H12" s="54"/>
      <c r="I12" s="54"/>
      <c r="J12" s="54"/>
      <c r="K12" s="54"/>
      <c r="L12" s="54"/>
      <c r="M12" s="54"/>
      <c r="N12" s="54"/>
      <c r="O12" s="54"/>
      <c r="P12" s="54"/>
      <c r="Q12" s="54"/>
      <c r="R12" s="54"/>
      <c r="S12" s="54"/>
      <c r="T12" s="54"/>
      <c r="U12" s="54"/>
      <c r="V12" s="86"/>
    </row>
    <row r="13" spans="1:22" x14ac:dyDescent="0.3">
      <c r="A13" s="85"/>
      <c r="B13" s="54"/>
      <c r="C13" s="54"/>
      <c r="D13" s="54"/>
      <c r="E13" s="54"/>
      <c r="F13" s="54"/>
      <c r="G13" s="54"/>
      <c r="H13" s="54"/>
      <c r="I13" s="54"/>
      <c r="J13" s="54"/>
      <c r="K13" s="54"/>
      <c r="L13" s="54"/>
      <c r="M13" s="54"/>
      <c r="N13" s="54"/>
      <c r="O13" s="54"/>
      <c r="P13" s="54"/>
      <c r="Q13" s="54"/>
      <c r="R13" s="54"/>
      <c r="S13" s="54"/>
      <c r="T13" s="54"/>
      <c r="U13" s="54"/>
      <c r="V13" s="86"/>
    </row>
    <row r="14" spans="1:22" x14ac:dyDescent="0.3">
      <c r="A14" s="85"/>
      <c r="B14" s="54"/>
      <c r="C14" s="54"/>
      <c r="D14" s="54"/>
      <c r="E14" s="54"/>
      <c r="F14" s="54"/>
      <c r="G14" s="54"/>
      <c r="H14" s="54"/>
      <c r="I14" s="54"/>
      <c r="J14" s="54"/>
      <c r="K14" s="54"/>
      <c r="L14" s="54"/>
      <c r="M14" s="54"/>
      <c r="N14" s="54"/>
      <c r="O14" s="54"/>
      <c r="P14" s="54"/>
      <c r="Q14" s="54"/>
      <c r="R14" s="54"/>
      <c r="S14" s="54"/>
      <c r="T14" s="54"/>
      <c r="U14" s="54"/>
      <c r="V14" s="86"/>
    </row>
    <row r="15" spans="1:22" x14ac:dyDescent="0.3">
      <c r="A15" s="85"/>
      <c r="B15" s="54"/>
      <c r="C15" s="54"/>
      <c r="D15" s="54"/>
      <c r="E15" s="54"/>
      <c r="F15" s="54"/>
      <c r="G15" s="54"/>
      <c r="H15" s="54"/>
      <c r="I15" s="54"/>
      <c r="J15" s="54"/>
      <c r="K15" s="54"/>
      <c r="L15" s="54"/>
      <c r="M15" s="54"/>
      <c r="N15" s="54"/>
      <c r="O15" s="54"/>
      <c r="P15" s="54"/>
      <c r="Q15" s="54"/>
      <c r="R15" s="54"/>
      <c r="S15" s="54"/>
      <c r="T15" s="54"/>
      <c r="U15" s="54"/>
      <c r="V15" s="86"/>
    </row>
    <row r="16" spans="1:22" x14ac:dyDescent="0.3">
      <c r="A16" s="85"/>
      <c r="B16" s="54"/>
      <c r="C16" s="54"/>
      <c r="D16" s="54"/>
      <c r="E16" s="54"/>
      <c r="F16" s="54"/>
      <c r="G16" s="54"/>
      <c r="H16" s="54"/>
      <c r="I16" s="54"/>
      <c r="J16" s="54"/>
      <c r="K16" s="54"/>
      <c r="L16" s="54"/>
      <c r="M16" s="54"/>
      <c r="N16" s="54"/>
      <c r="O16" s="54"/>
      <c r="P16" s="54"/>
      <c r="Q16" s="54"/>
      <c r="R16" s="54"/>
      <c r="S16" s="54"/>
      <c r="T16" s="54"/>
      <c r="U16" s="54"/>
      <c r="V16" s="86"/>
    </row>
    <row r="17" spans="1:22" x14ac:dyDescent="0.3">
      <c r="A17" s="85"/>
      <c r="B17" s="54"/>
      <c r="C17" s="54"/>
      <c r="D17" s="54"/>
      <c r="E17" s="54"/>
      <c r="F17" s="54"/>
      <c r="G17" s="54"/>
      <c r="H17" s="54"/>
      <c r="I17" s="54"/>
      <c r="J17" s="54"/>
      <c r="K17" s="54"/>
      <c r="L17" s="54"/>
      <c r="M17" s="54"/>
      <c r="N17" s="54"/>
      <c r="O17" s="54"/>
      <c r="P17" s="54"/>
      <c r="Q17" s="54"/>
      <c r="R17" s="54"/>
      <c r="S17" s="54"/>
      <c r="T17" s="54"/>
      <c r="U17" s="54"/>
      <c r="V17" s="86"/>
    </row>
    <row r="18" spans="1:22" x14ac:dyDescent="0.3">
      <c r="A18" s="85"/>
      <c r="B18" s="54"/>
      <c r="C18" s="54"/>
      <c r="D18" s="54"/>
      <c r="E18" s="54"/>
      <c r="F18" s="54"/>
      <c r="G18" s="54"/>
      <c r="H18" s="54"/>
      <c r="I18" s="54"/>
      <c r="J18" s="54"/>
      <c r="K18" s="54"/>
      <c r="L18" s="54"/>
      <c r="M18" s="54"/>
      <c r="N18" s="54"/>
      <c r="O18" s="54"/>
      <c r="P18" s="54"/>
      <c r="Q18" s="54"/>
      <c r="R18" s="54"/>
      <c r="S18" s="54"/>
      <c r="T18" s="54"/>
      <c r="U18" s="54"/>
      <c r="V18" s="86"/>
    </row>
    <row r="19" spans="1:22" x14ac:dyDescent="0.3">
      <c r="A19" s="85"/>
      <c r="B19" s="54"/>
      <c r="C19" s="54"/>
      <c r="D19" s="54"/>
      <c r="E19" s="54"/>
      <c r="F19" s="54"/>
      <c r="G19" s="54"/>
      <c r="H19" s="54"/>
      <c r="I19" s="54"/>
      <c r="J19" s="54"/>
      <c r="K19" s="54"/>
      <c r="L19" s="54"/>
      <c r="M19" s="54"/>
      <c r="N19" s="54"/>
      <c r="O19" s="54"/>
      <c r="P19" s="54"/>
      <c r="Q19" s="54"/>
      <c r="R19" s="54"/>
      <c r="S19" s="54"/>
      <c r="T19" s="54"/>
      <c r="U19" s="54"/>
      <c r="V19" s="86"/>
    </row>
    <row r="20" spans="1:22" x14ac:dyDescent="0.3">
      <c r="A20" s="85"/>
      <c r="B20" s="54"/>
      <c r="C20" s="54"/>
      <c r="D20" s="54"/>
      <c r="E20" s="54"/>
      <c r="F20" s="54"/>
      <c r="G20" s="54"/>
      <c r="H20" s="54"/>
      <c r="I20" s="54"/>
      <c r="J20" s="54"/>
      <c r="K20" s="54"/>
      <c r="L20" s="54"/>
      <c r="M20" s="54"/>
      <c r="N20" s="54"/>
      <c r="O20" s="54"/>
      <c r="P20" s="54"/>
      <c r="Q20" s="54"/>
      <c r="R20" s="54"/>
      <c r="S20" s="54"/>
      <c r="T20" s="54"/>
      <c r="U20" s="54"/>
      <c r="V20" s="86"/>
    </row>
    <row r="21" spans="1:22" x14ac:dyDescent="0.3">
      <c r="A21" s="85"/>
      <c r="B21" s="54"/>
      <c r="C21" s="54"/>
      <c r="D21" s="54"/>
      <c r="E21" s="54"/>
      <c r="F21" s="54"/>
      <c r="G21" s="54"/>
      <c r="H21" s="54"/>
      <c r="I21" s="54"/>
      <c r="J21" s="54"/>
      <c r="K21" s="54"/>
      <c r="L21" s="54"/>
      <c r="M21" s="54"/>
      <c r="N21" s="54"/>
      <c r="O21" s="54"/>
      <c r="P21" s="54"/>
      <c r="Q21" s="54"/>
      <c r="R21" s="54"/>
      <c r="S21" s="54"/>
      <c r="T21" s="54"/>
      <c r="U21" s="54"/>
      <c r="V21" s="86"/>
    </row>
    <row r="22" spans="1:22" x14ac:dyDescent="0.3">
      <c r="A22" s="85"/>
      <c r="B22" s="54"/>
      <c r="C22" s="54"/>
      <c r="D22" s="54"/>
      <c r="E22" s="54"/>
      <c r="F22" s="54"/>
      <c r="G22" s="54"/>
      <c r="H22" s="54"/>
      <c r="I22" s="54"/>
      <c r="J22" s="54"/>
      <c r="K22" s="54"/>
      <c r="L22" s="54"/>
      <c r="M22" s="54"/>
      <c r="N22" s="54"/>
      <c r="O22" s="54"/>
      <c r="P22" s="54"/>
      <c r="Q22" s="54"/>
      <c r="R22" s="54"/>
      <c r="S22" s="54"/>
      <c r="T22" s="54"/>
      <c r="U22" s="54"/>
      <c r="V22" s="86"/>
    </row>
    <row r="23" spans="1:22" x14ac:dyDescent="0.3">
      <c r="A23" s="85"/>
      <c r="B23" s="54"/>
      <c r="C23" s="54"/>
      <c r="D23" s="54"/>
      <c r="E23" s="54"/>
      <c r="F23" s="54"/>
      <c r="G23" s="54"/>
      <c r="H23" s="54"/>
      <c r="I23" s="54"/>
      <c r="J23" s="54"/>
      <c r="K23" s="54"/>
      <c r="L23" s="54"/>
      <c r="M23" s="54"/>
      <c r="N23" s="54"/>
      <c r="O23" s="54"/>
      <c r="P23" s="54"/>
      <c r="Q23" s="54"/>
      <c r="R23" s="54"/>
      <c r="S23" s="54"/>
      <c r="T23" s="54"/>
      <c r="U23" s="54"/>
      <c r="V23" s="86"/>
    </row>
    <row r="24" spans="1:22" x14ac:dyDescent="0.3">
      <c r="A24" s="85"/>
      <c r="B24" s="54"/>
      <c r="C24" s="54"/>
      <c r="D24" s="54"/>
      <c r="E24" s="54"/>
      <c r="F24" s="54"/>
      <c r="G24" s="54"/>
      <c r="H24" s="54"/>
      <c r="I24" s="54"/>
      <c r="J24" s="54"/>
      <c r="K24" s="54"/>
      <c r="L24" s="54"/>
      <c r="M24" s="54"/>
      <c r="N24" s="54"/>
      <c r="O24" s="54"/>
      <c r="P24" s="54"/>
      <c r="Q24" s="54"/>
      <c r="R24" s="54"/>
      <c r="S24" s="54"/>
      <c r="T24" s="54"/>
      <c r="U24" s="54"/>
      <c r="V24" s="86"/>
    </row>
    <row r="25" spans="1:22" x14ac:dyDescent="0.3">
      <c r="A25" s="85"/>
      <c r="B25" s="54"/>
      <c r="C25" s="54"/>
      <c r="D25" s="54"/>
      <c r="E25" s="54"/>
      <c r="F25" s="54"/>
      <c r="G25" s="54"/>
      <c r="H25" s="54"/>
      <c r="I25" s="54"/>
      <c r="J25" s="54"/>
      <c r="K25" s="54"/>
      <c r="L25" s="54"/>
      <c r="M25" s="54"/>
      <c r="N25" s="54"/>
      <c r="O25" s="54"/>
      <c r="P25" s="54"/>
      <c r="Q25" s="54"/>
      <c r="R25" s="54"/>
      <c r="S25" s="54"/>
      <c r="T25" s="54"/>
      <c r="U25" s="54"/>
      <c r="V25" s="86"/>
    </row>
    <row r="26" spans="1:22" x14ac:dyDescent="0.3">
      <c r="A26" s="85"/>
      <c r="B26" s="54"/>
      <c r="C26" s="54"/>
      <c r="D26" s="54"/>
      <c r="E26" s="54"/>
      <c r="F26" s="54"/>
      <c r="G26" s="54"/>
      <c r="H26" s="54"/>
      <c r="I26" s="54"/>
      <c r="J26" s="54"/>
      <c r="K26" s="54"/>
      <c r="L26" s="54"/>
      <c r="M26" s="54"/>
      <c r="N26" s="54"/>
      <c r="O26" s="54"/>
      <c r="P26" s="54"/>
      <c r="Q26" s="54"/>
      <c r="R26" s="54"/>
      <c r="S26" s="54"/>
      <c r="T26" s="54"/>
      <c r="U26" s="54"/>
      <c r="V26" s="86"/>
    </row>
    <row r="27" spans="1:22" x14ac:dyDescent="0.3">
      <c r="A27" s="85"/>
      <c r="B27" s="54"/>
      <c r="C27" s="54"/>
      <c r="D27" s="54"/>
      <c r="E27" s="54"/>
      <c r="F27" s="54"/>
      <c r="G27" s="54"/>
      <c r="H27" s="54"/>
      <c r="I27" s="54"/>
      <c r="J27" s="54"/>
      <c r="K27" s="54"/>
      <c r="L27" s="54"/>
      <c r="M27" s="54"/>
      <c r="N27" s="54"/>
      <c r="O27" s="54"/>
      <c r="P27" s="54"/>
      <c r="Q27" s="54"/>
      <c r="R27" s="54"/>
      <c r="S27" s="54"/>
      <c r="T27" s="54"/>
      <c r="U27" s="54"/>
      <c r="V27" s="86"/>
    </row>
    <row r="28" spans="1:22" x14ac:dyDescent="0.3">
      <c r="A28" s="85"/>
      <c r="B28" s="54"/>
      <c r="C28" s="54"/>
      <c r="D28" s="54"/>
      <c r="E28" s="54"/>
      <c r="F28" s="54"/>
      <c r="G28" s="54"/>
      <c r="H28" s="54"/>
      <c r="I28" s="54"/>
      <c r="J28" s="54"/>
      <c r="K28" s="54"/>
      <c r="L28" s="54"/>
      <c r="M28" s="54"/>
      <c r="N28" s="54"/>
      <c r="O28" s="54"/>
      <c r="P28" s="54"/>
      <c r="Q28" s="54"/>
      <c r="R28" s="54"/>
      <c r="S28" s="54"/>
      <c r="T28" s="54"/>
      <c r="U28" s="54"/>
      <c r="V28" s="86"/>
    </row>
    <row r="29" spans="1:22" ht="15" thickBot="1" x14ac:dyDescent="0.35">
      <c r="A29" s="87"/>
      <c r="B29" s="88"/>
      <c r="C29" s="88"/>
      <c r="D29" s="88"/>
      <c r="E29" s="88"/>
      <c r="F29" s="88"/>
      <c r="G29" s="88"/>
      <c r="H29" s="88"/>
      <c r="I29" s="88"/>
      <c r="J29" s="88"/>
      <c r="K29" s="88"/>
      <c r="L29" s="88"/>
      <c r="M29" s="88"/>
      <c r="N29" s="88"/>
      <c r="O29" s="88"/>
      <c r="P29" s="88"/>
      <c r="Q29" s="88"/>
      <c r="R29" s="88"/>
      <c r="S29" s="88"/>
      <c r="T29" s="88"/>
      <c r="U29" s="88"/>
      <c r="V29" s="8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Activity_Tracker</vt:lpstr>
      <vt:lpstr>Status</vt:lpstr>
      <vt:lpstr>Date Vs Status</vt:lpstr>
      <vt:lpstr>Industry Vs Status</vt:lpstr>
      <vt:lpstr>Source Vs Status</vt:lpstr>
      <vt:lpstr>Country Vs Status</vt:lpstr>
      <vt:lpstr>Convosentiment vs Stus vs cntry</vt:lpstr>
      <vt:lpstr>Status &amp; company_name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Madhan P</dc:creator>
  <cp:lastModifiedBy>Madhan P</cp:lastModifiedBy>
  <dcterms:created xsi:type="dcterms:W3CDTF">2024-09-05T19:42:17Z</dcterms:created>
  <dcterms:modified xsi:type="dcterms:W3CDTF">2024-09-06T19:23:22Z</dcterms:modified>
</cp:coreProperties>
</file>